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atics\Excel\"/>
    </mc:Choice>
  </mc:AlternateContent>
  <xr:revisionPtr revIDLastSave="0" documentId="13_ncr:9_{072B6D98-9B21-42C2-80AF-8C5CED7E0CBC}" xr6:coauthVersionLast="47" xr6:coauthVersionMax="47" xr10:uidLastSave="{00000000-0000-0000-0000-000000000000}"/>
  <bookViews>
    <workbookView xWindow="-108" yWindow="-108" windowWidth="23256" windowHeight="12456" xr2:uid="{2D6B4651-4649-48C2-A3A7-F185891ADFBF}"/>
  </bookViews>
  <sheets>
    <sheet name="Sheet2" sheetId="3" r:id="rId1"/>
    <sheet name="ICC Mens T20 Worldcup" sheetId="1" r:id="rId2"/>
    <sheet name="Dashboard" sheetId="2" r:id="rId3"/>
  </sheets>
  <definedNames>
    <definedName name="_xlnm._FilterDatabase" localSheetId="2" hidden="1">Dashboard!$D$60:$H$80</definedName>
    <definedName name="_xlcn.WorksheetConnection_ICCMensT20Worldcup.xlsxTable11" hidden="1">Table1[]</definedName>
    <definedName name="_xlcn.WorksheetConnection_ICCMensT20WorldcupA1AF561" hidden="1">'ICC Mens T20 Worldcup'!$A$1:$AF$56</definedName>
    <definedName name="Slicer_Date_of_Match">#N/A</definedName>
  </definedNames>
  <calcPr calcId="0"/>
  <pivotCaches>
    <pivotCache cacheId="349" r:id="rId4"/>
  </pivotCaches>
  <extLst>
    <ext xmlns:x14="http://schemas.microsoft.com/office/spreadsheetml/2009/9/main" uri="{876F7934-8845-4945-9796-88D515C7AA90}">
      <x14:pivotCaches>
        <pivotCache cacheId="319"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CC Mens T20 Worldcup.xlsx!Table1"/>
          <x15:modelTable id="Range" name="Range" connection="WorksheetConnection_ICC Mens T20 Worldcup!$A$1:$AF$56"/>
        </x15:modelTables>
      </x15:dataModel>
    </ext>
  </extLst>
</workbook>
</file>

<file path=xl/calcChain.xml><?xml version="1.0" encoding="utf-8"?>
<calcChain xmlns="http://schemas.openxmlformats.org/spreadsheetml/2006/main">
  <c r="H79" i="2" l="1"/>
  <c r="H62" i="2"/>
  <c r="H73" i="2"/>
  <c r="H74" i="2"/>
  <c r="H61" i="2"/>
  <c r="H69" i="2"/>
  <c r="H80" i="2"/>
  <c r="H77" i="2"/>
  <c r="H68" i="2"/>
  <c r="H65" i="2"/>
  <c r="H66" i="2"/>
  <c r="H75" i="2"/>
  <c r="H64" i="2"/>
  <c r="H67" i="2"/>
  <c r="H71" i="2"/>
  <c r="H72" i="2"/>
  <c r="H78" i="2"/>
  <c r="H70" i="2"/>
  <c r="H76" i="2"/>
  <c r="H63" i="2"/>
  <c r="G66" i="2"/>
  <c r="G61" i="2"/>
  <c r="G65" i="2"/>
  <c r="G64" i="2"/>
  <c r="G62" i="2"/>
  <c r="G63" i="2"/>
  <c r="F71" i="2"/>
  <c r="F70" i="2"/>
  <c r="F65" i="2"/>
  <c r="F63" i="2"/>
  <c r="F75" i="2"/>
  <c r="F68" i="2"/>
  <c r="F76" i="2"/>
  <c r="F66" i="2"/>
  <c r="F73" i="2"/>
  <c r="F78" i="2"/>
  <c r="F69" i="2"/>
  <c r="F67" i="2"/>
  <c r="F61" i="2"/>
  <c r="F79" i="2"/>
  <c r="F62" i="2"/>
  <c r="F80" i="2"/>
  <c r="F74" i="2"/>
  <c r="F64" i="2"/>
  <c r="F72" i="2"/>
  <c r="F77" i="2"/>
  <c r="E77" i="2"/>
  <c r="E72" i="2"/>
  <c r="E66" i="2"/>
  <c r="E74" i="2"/>
  <c r="E67" i="2"/>
  <c r="E70" i="2"/>
  <c r="E75" i="2"/>
  <c r="E64" i="2"/>
  <c r="E69" i="2"/>
  <c r="E76" i="2"/>
  <c r="E71" i="2"/>
  <c r="E63" i="2"/>
  <c r="E61" i="2"/>
  <c r="E65" i="2"/>
  <c r="E68" i="2"/>
  <c r="E73" i="2"/>
  <c r="E62" i="2"/>
  <c r="D75" i="2"/>
  <c r="D61" i="2"/>
  <c r="D68" i="2"/>
  <c r="D66" i="2"/>
  <c r="D62" i="2"/>
  <c r="D65" i="2"/>
  <c r="D71" i="2"/>
  <c r="D63" i="2"/>
  <c r="D64" i="2"/>
  <c r="D76" i="2"/>
  <c r="D72" i="2"/>
  <c r="D67" i="2"/>
  <c r="D69" i="2"/>
  <c r="D70" i="2"/>
  <c r="D73" i="2"/>
  <c r="D74" i="2"/>
  <c r="D77" i="2"/>
  <c r="H60" i="2"/>
  <c r="G60" i="2"/>
  <c r="F60" i="2"/>
  <c r="E60" i="2"/>
  <c r="D60" i="2"/>
  <c r="J6" i="2"/>
  <c r="I6" i="2"/>
  <c r="H6" i="2"/>
  <c r="G6"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J21" i="2"/>
  <c r="J22" i="2"/>
  <c r="J23" i="2"/>
  <c r="J24" i="2"/>
  <c r="J25" i="2"/>
  <c r="J26" i="2"/>
  <c r="J27" i="2"/>
  <c r="J28" i="2"/>
  <c r="J20" i="2"/>
  <c r="T58" i="1"/>
  <c r="R58" i="1"/>
  <c r="Q58" i="1"/>
  <c r="I21" i="2"/>
  <c r="I22" i="2"/>
  <c r="I23" i="2"/>
  <c r="I24" i="2"/>
  <c r="I25" i="2"/>
  <c r="I26" i="2"/>
  <c r="I27" i="2"/>
  <c r="I28" i="2"/>
  <c r="I20" i="2"/>
  <c r="H21" i="2"/>
  <c r="H22" i="2"/>
  <c r="H23" i="2"/>
  <c r="H24" i="2"/>
  <c r="H25" i="2"/>
  <c r="H26" i="2"/>
  <c r="H27" i="2"/>
  <c r="H28" i="2"/>
  <c r="H20" i="2"/>
  <c r="G21" i="2"/>
  <c r="G22" i="2"/>
  <c r="G23" i="2"/>
  <c r="G24" i="2"/>
  <c r="G25" i="2"/>
  <c r="G26" i="2"/>
  <c r="G27" i="2"/>
  <c r="G28" i="2"/>
  <c r="G20" i="2"/>
  <c r="F21" i="2"/>
  <c r="F22" i="2"/>
  <c r="F23" i="2"/>
  <c r="F24" i="2"/>
  <c r="F25" i="2"/>
  <c r="F26" i="2"/>
  <c r="F27" i="2"/>
  <c r="F28" i="2"/>
  <c r="F20" i="2"/>
  <c r="E20" i="2"/>
  <c r="E21" i="2"/>
  <c r="E22" i="2"/>
  <c r="E23" i="2"/>
  <c r="E24" i="2"/>
  <c r="E25" i="2"/>
  <c r="E26" i="2"/>
  <c r="E27" i="2"/>
  <c r="E28" i="2"/>
  <c r="D21" i="2"/>
  <c r="D22" i="2"/>
  <c r="D23" i="2"/>
  <c r="D24" i="2"/>
  <c r="D25" i="2"/>
  <c r="D26" i="2"/>
  <c r="D27" i="2"/>
  <c r="D28" i="2"/>
  <c r="D20" i="2"/>
  <c r="D6" i="2"/>
  <c r="E6" i="2"/>
  <c r="S58" i="1"/>
  <c r="F6" i="2"/>
  <c r="C6" i="2"/>
  <c r="F30" i="2" l="1"/>
  <c r="I30" i="2"/>
  <c r="J30" i="2"/>
  <c r="G30" i="2"/>
  <c r="H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7CF78-F605-40F2-90B1-F5471C1318F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498499-321A-4B0B-9C05-D027B3967DD6}" name="WorksheetConnection_ICC Mens T20 Worldcup!$A$1:$AF$56" type="102" refreshedVersion="8" minRefreshableVersion="5">
    <extLst>
      <ext xmlns:x15="http://schemas.microsoft.com/office/spreadsheetml/2010/11/main" uri="{DE250136-89BD-433C-8126-D09CA5730AF9}">
        <x15:connection id="Range" autoDelete="1">
          <x15:rangePr sourceName="_xlcn.WorksheetConnection_ICCMensT20WorldcupA1AF561"/>
        </x15:connection>
      </ext>
    </extLst>
  </connection>
  <connection id="3" xr16:uid="{8CE2B115-A455-4578-A423-6CF26C717CEE}" name="WorksheetConnection_ICC Mens T20 Worldcup.xlsx!Table1" type="102" refreshedVersion="8" minRefreshableVersion="5">
    <extLst>
      <ext xmlns:x15="http://schemas.microsoft.com/office/spreadsheetml/2010/11/main" uri="{DE250136-89BD-433C-8126-D09CA5730AF9}">
        <x15:connection id="Table1">
          <x15:rangePr sourceName="_xlcn.WorksheetConnection_ICCMensT20Worldcup.xlsxTable11"/>
        </x15:connection>
      </ext>
    </extLst>
  </connection>
</connections>
</file>

<file path=xl/sharedStrings.xml><?xml version="1.0" encoding="utf-8"?>
<sst xmlns="http://schemas.openxmlformats.org/spreadsheetml/2006/main" count="1373" uniqueCount="285">
  <si>
    <t>Match No.</t>
  </si>
  <si>
    <t>Date of Match</t>
  </si>
  <si>
    <t>Venue Stadium</t>
  </si>
  <si>
    <t>Venue City</t>
  </si>
  <si>
    <t>1st Team</t>
  </si>
  <si>
    <t>2nd Team</t>
  </si>
  <si>
    <t>Stage</t>
  </si>
  <si>
    <t>Umpire 1</t>
  </si>
  <si>
    <t>Umpire 2</t>
  </si>
  <si>
    <t>Reserve Umpire</t>
  </si>
  <si>
    <t>Match Referee</t>
  </si>
  <si>
    <t>TV Umpire</t>
  </si>
  <si>
    <t>Toss Winning</t>
  </si>
  <si>
    <t>Toss Loser</t>
  </si>
  <si>
    <t>Toss Decision</t>
  </si>
  <si>
    <t>Match Result</t>
  </si>
  <si>
    <t>First Innings Score</t>
  </si>
  <si>
    <t>Fall of wickets First Innings</t>
  </si>
  <si>
    <t>Second Innings Score</t>
  </si>
  <si>
    <t>Fall of wickets Second Innings</t>
  </si>
  <si>
    <t>Winners</t>
  </si>
  <si>
    <t>Losers</t>
  </si>
  <si>
    <t>Method</t>
  </si>
  <si>
    <t>Won by</t>
  </si>
  <si>
    <t>Winning Margin</t>
  </si>
  <si>
    <t>Top Run Scorer</t>
  </si>
  <si>
    <t>Highest Score</t>
  </si>
  <si>
    <t>Best Bowler</t>
  </si>
  <si>
    <t>Best Bowler Figure(Wickets Taken)</t>
  </si>
  <si>
    <t>Best Bowler Figure(Runs Recieved)</t>
  </si>
  <si>
    <t>Player Of The Match</t>
  </si>
  <si>
    <t>Super Over Match</t>
  </si>
  <si>
    <t>1st</t>
  </si>
  <si>
    <t>Grand Prairie Stadium</t>
  </si>
  <si>
    <t>Dallas</t>
  </si>
  <si>
    <t>Canada</t>
  </si>
  <si>
    <t>United State Of America</t>
  </si>
  <si>
    <t>Group A</t>
  </si>
  <si>
    <t>Richard Illingworth</t>
  </si>
  <si>
    <t>Sharfuddoula</t>
  </si>
  <si>
    <t>Langton Rusere</t>
  </si>
  <si>
    <t>Richie Richardson</t>
  </si>
  <si>
    <t>Sam Nogajski</t>
  </si>
  <si>
    <t>Fielding</t>
  </si>
  <si>
    <t>Played</t>
  </si>
  <si>
    <t>Normal Match</t>
  </si>
  <si>
    <t>Wickets</t>
  </si>
  <si>
    <t>Aaron Jones</t>
  </si>
  <si>
    <t>Dilon Heyliger</t>
  </si>
  <si>
    <t>No</t>
  </si>
  <si>
    <t>2nd</t>
  </si>
  <si>
    <t>Providence Stadium</t>
  </si>
  <si>
    <t>Providence</t>
  </si>
  <si>
    <t>Papua New Guinea</t>
  </si>
  <si>
    <t>West Indies</t>
  </si>
  <si>
    <t>Group C</t>
  </si>
  <si>
    <t>Adrian Holdstock</t>
  </si>
  <si>
    <t>Rashid Riaz</t>
  </si>
  <si>
    <t>Kumar Dharmasena</t>
  </si>
  <si>
    <t>Andy Pycroft</t>
  </si>
  <si>
    <t>Ahsan Raza</t>
  </si>
  <si>
    <t>Sese Bau</t>
  </si>
  <si>
    <t>Andre Russell</t>
  </si>
  <si>
    <t>Roston Chase</t>
  </si>
  <si>
    <t>3rd</t>
  </si>
  <si>
    <t>Kensington Oval</t>
  </si>
  <si>
    <t>Bridgetown</t>
  </si>
  <si>
    <t>Oman</t>
  </si>
  <si>
    <t>Namibia</t>
  </si>
  <si>
    <t>Group B</t>
  </si>
  <si>
    <t>Jayaraman Madanagopal</t>
  </si>
  <si>
    <t>Joel Wilson</t>
  </si>
  <si>
    <t>Asif Yaqoob</t>
  </si>
  <si>
    <t>Ranjan Madugalle</t>
  </si>
  <si>
    <t>Nitin Menon</t>
  </si>
  <si>
    <t>Jan Frylinck</t>
  </si>
  <si>
    <t>Mehran Khan</t>
  </si>
  <si>
    <t>David Wiese</t>
  </si>
  <si>
    <t>Yes</t>
  </si>
  <si>
    <t>4th</t>
  </si>
  <si>
    <t>Nassau County International Cricket Stadium</t>
  </si>
  <si>
    <t>New York</t>
  </si>
  <si>
    <t>Sri Lanka</t>
  </si>
  <si>
    <t>South Africa</t>
  </si>
  <si>
    <t>Group D</t>
  </si>
  <si>
    <t>Chris Brown</t>
  </si>
  <si>
    <t>Richard Kettleborough</t>
  </si>
  <si>
    <t>Alex Wharf</t>
  </si>
  <si>
    <t>Jeff Crowe</t>
  </si>
  <si>
    <t>Paul Reiffel</t>
  </si>
  <si>
    <t>Batting</t>
  </si>
  <si>
    <t>Quinton de Kock</t>
  </si>
  <si>
    <t>Anrich Nortje</t>
  </si>
  <si>
    <t>5th</t>
  </si>
  <si>
    <t>Afghanistan</t>
  </si>
  <si>
    <t>Uganda</t>
  </si>
  <si>
    <t>Runs</t>
  </si>
  <si>
    <t>Rahmanullah Gurbaz</t>
  </si>
  <si>
    <t>Fazalhaq Farooqi</t>
  </si>
  <si>
    <t>6th</t>
  </si>
  <si>
    <t>Scotland</t>
  </si>
  <si>
    <t>England</t>
  </si>
  <si>
    <t>Abandoned</t>
  </si>
  <si>
    <t>No Result (Rain)</t>
  </si>
  <si>
    <t>7th</t>
  </si>
  <si>
    <t>Nepal</t>
  </si>
  <si>
    <t>Netherlands</t>
  </si>
  <si>
    <t>Rod Tucker</t>
  </si>
  <si>
    <t>Max O'Dowd</t>
  </si>
  <si>
    <t>Tim Pringle</t>
  </si>
  <si>
    <t>8th</t>
  </si>
  <si>
    <t>Ireland</t>
  </si>
  <si>
    <t>India</t>
  </si>
  <si>
    <t>Chris Gaffaney</t>
  </si>
  <si>
    <t>David Boon</t>
  </si>
  <si>
    <t>Rohit Sharma</t>
  </si>
  <si>
    <t>Jasprit Bumrah</t>
  </si>
  <si>
    <t>9th</t>
  </si>
  <si>
    <t>Javagal Srinath</t>
  </si>
  <si>
    <t>Riazat Ali Shah</t>
  </si>
  <si>
    <t>Frank Nsubuga</t>
  </si>
  <si>
    <t>10th</t>
  </si>
  <si>
    <t>Australia</t>
  </si>
  <si>
    <t>Marcus Stoinis</t>
  </si>
  <si>
    <t>11th</t>
  </si>
  <si>
    <t>Pakistan</t>
  </si>
  <si>
    <t>Allahuddien Paleker</t>
  </si>
  <si>
    <t>Michael Gough</t>
  </si>
  <si>
    <t>Monank Patel</t>
  </si>
  <si>
    <t>Nosthush Kenjige</t>
  </si>
  <si>
    <t>12th</t>
  </si>
  <si>
    <t>Michael Leask</t>
  </si>
  <si>
    <t>Brad Currie</t>
  </si>
  <si>
    <t>13th</t>
  </si>
  <si>
    <t>Nicholas Kirton</t>
  </si>
  <si>
    <t>Jeremy Gordon</t>
  </si>
  <si>
    <t>14th</t>
  </si>
  <si>
    <t>New Zealand</t>
  </si>
  <si>
    <t>Rashid Khan</t>
  </si>
  <si>
    <t>15th</t>
  </si>
  <si>
    <t>Bangladesh</t>
  </si>
  <si>
    <t>Pathum Nissanka</t>
  </si>
  <si>
    <t>Rishad Hossain</t>
  </si>
  <si>
    <t>16th</t>
  </si>
  <si>
    <t>David Miller</t>
  </si>
  <si>
    <t>Ottneil Baartman</t>
  </si>
  <si>
    <t>17th</t>
  </si>
  <si>
    <t>Jos Buttler</t>
  </si>
  <si>
    <t>Adam Zampa</t>
  </si>
  <si>
    <t>18th</t>
  </si>
  <si>
    <t>Johnson Charles</t>
  </si>
  <si>
    <t>Akeal Hosein</t>
  </si>
  <si>
    <t>19th</t>
  </si>
  <si>
    <t>Rishabh Pant</t>
  </si>
  <si>
    <t>20th</t>
  </si>
  <si>
    <t>Sir Vivian Richards Stadium</t>
  </si>
  <si>
    <t>North Sound</t>
  </si>
  <si>
    <t>Brandon McMullen</t>
  </si>
  <si>
    <t>Chris Greaves</t>
  </si>
  <si>
    <t>21th</t>
  </si>
  <si>
    <t>Heinrich Klaasen</t>
  </si>
  <si>
    <t>Tanzim Hasan Sakib</t>
  </si>
  <si>
    <t>22th</t>
  </si>
  <si>
    <t>Aaron Johnson</t>
  </si>
  <si>
    <t>Mohammad Amir</t>
  </si>
  <si>
    <t>23th</t>
  </si>
  <si>
    <t>Central Broward Regional Park Stadium Turf Ground</t>
  </si>
  <si>
    <t>Lauderhill</t>
  </si>
  <si>
    <t>24th</t>
  </si>
  <si>
    <t>Gerhard Erasmus</t>
  </si>
  <si>
    <t>25th</t>
  </si>
  <si>
    <t>Suryakumar Yadav</t>
  </si>
  <si>
    <t>Arshdeep Singh</t>
  </si>
  <si>
    <t>26th</t>
  </si>
  <si>
    <t>13-06-2024</t>
  </si>
  <si>
    <t>Brian Lara Stadium</t>
  </si>
  <si>
    <t>Tarouba</t>
  </si>
  <si>
    <t>Sherfane Rutherford</t>
  </si>
  <si>
    <t>Trent Boult</t>
  </si>
  <si>
    <t>27th</t>
  </si>
  <si>
    <t>Arnos Vale Ground</t>
  </si>
  <si>
    <t>Kingstown</t>
  </si>
  <si>
    <t>Shakib Al Hasan</t>
  </si>
  <si>
    <t>Paul van Meekeren</t>
  </si>
  <si>
    <t>28th</t>
  </si>
  <si>
    <t>14-06-2024</t>
  </si>
  <si>
    <t>Adil Rashid</t>
  </si>
  <si>
    <t>29th</t>
  </si>
  <si>
    <t>Gulbadin Naib</t>
  </si>
  <si>
    <t>30th</t>
  </si>
  <si>
    <t>15-06-2024</t>
  </si>
  <si>
    <t>31th</t>
  </si>
  <si>
    <t>Reeza Hendricks</t>
  </si>
  <si>
    <t>Tabraiz Shamsi</t>
  </si>
  <si>
    <t>32th</t>
  </si>
  <si>
    <t>Devon Conway</t>
  </si>
  <si>
    <t>Tim Southee</t>
  </si>
  <si>
    <t>33th</t>
  </si>
  <si>
    <t>16-06-2024</t>
  </si>
  <si>
    <t>34th</t>
  </si>
  <si>
    <t>Harry Brook</t>
  </si>
  <si>
    <t>35th</t>
  </si>
  <si>
    <t>Daren Sammy National Cricket Stadium</t>
  </si>
  <si>
    <t>Gros Islet</t>
  </si>
  <si>
    <t>Mark Watt</t>
  </si>
  <si>
    <t>36th</t>
  </si>
  <si>
    <t>Babar Azam</t>
  </si>
  <si>
    <t>Shaheen Shah Afridi</t>
  </si>
  <si>
    <t>37th</t>
  </si>
  <si>
    <t>17-06-2024</t>
  </si>
  <si>
    <t>Kushal Malla</t>
  </si>
  <si>
    <t>38th</t>
  </si>
  <si>
    <t>Charith Asalanka</t>
  </si>
  <si>
    <t>Nuwan Thushara</t>
  </si>
  <si>
    <t>39th</t>
  </si>
  <si>
    <t>Lockie Ferguson</t>
  </si>
  <si>
    <t>40th</t>
  </si>
  <si>
    <t>18-06-2024</t>
  </si>
  <si>
    <t>Nicholas Pooran</t>
  </si>
  <si>
    <t>Obed McCoy</t>
  </si>
  <si>
    <t>41th</t>
  </si>
  <si>
    <t>19-06-2024</t>
  </si>
  <si>
    <t>Kagiso Rabada</t>
  </si>
  <si>
    <t>42th</t>
  </si>
  <si>
    <t>20-06-2024</t>
  </si>
  <si>
    <t>Group 2</t>
  </si>
  <si>
    <t>Phil Salt</t>
  </si>
  <si>
    <t>43th</t>
  </si>
  <si>
    <t>Group 1</t>
  </si>
  <si>
    <t>44th</t>
  </si>
  <si>
    <t>21-06-2024</t>
  </si>
  <si>
    <t>DLS</t>
  </si>
  <si>
    <t>David Warner</t>
  </si>
  <si>
    <t>Pat Cummins</t>
  </si>
  <si>
    <t>45th</t>
  </si>
  <si>
    <t>Jofra Archer</t>
  </si>
  <si>
    <t>46th</t>
  </si>
  <si>
    <t>22-06-2024</t>
  </si>
  <si>
    <t>Shai Hope</t>
  </si>
  <si>
    <t>47th</t>
  </si>
  <si>
    <t>Hardik Pandya</t>
  </si>
  <si>
    <t>Kuldeep Yadav</t>
  </si>
  <si>
    <t>48th</t>
  </si>
  <si>
    <t>23-06-2024</t>
  </si>
  <si>
    <t>49th</t>
  </si>
  <si>
    <t>50th</t>
  </si>
  <si>
    <t>24-06-2024</t>
  </si>
  <si>
    <t>51th</t>
  </si>
  <si>
    <t>52th</t>
  </si>
  <si>
    <t>25-06-2024</t>
  </si>
  <si>
    <t>Litton Das</t>
  </si>
  <si>
    <t>Naveen-ul-Haq</t>
  </si>
  <si>
    <t>53th</t>
  </si>
  <si>
    <t>27-06-2024</t>
  </si>
  <si>
    <t>1st Semi-Final</t>
  </si>
  <si>
    <t>Marco Jansen</t>
  </si>
  <si>
    <t>54th</t>
  </si>
  <si>
    <t>2nd Semi-Final</t>
  </si>
  <si>
    <t>Axar Patel</t>
  </si>
  <si>
    <t>55th</t>
  </si>
  <si>
    <t>29-06-2024</t>
  </si>
  <si>
    <t>Final</t>
  </si>
  <si>
    <t>Virat Kohli</t>
  </si>
  <si>
    <t>Toss &amp; Match Win</t>
  </si>
  <si>
    <t>1st ing avg wickets</t>
  </si>
  <si>
    <t>2nd ing avg wickets</t>
  </si>
  <si>
    <t>1st ing score Avg</t>
  </si>
  <si>
    <t>2nd Ing score Avg</t>
  </si>
  <si>
    <t>Column1</t>
  </si>
  <si>
    <t>Row Labels</t>
  </si>
  <si>
    <t>Grand Total</t>
  </si>
  <si>
    <t>First match score</t>
  </si>
  <si>
    <t>Matchs Played</t>
  </si>
  <si>
    <t>Avg 1st ing score</t>
  </si>
  <si>
    <t>Avg 2nd ing score</t>
  </si>
  <si>
    <t>Avg 1st ing Wickets</t>
  </si>
  <si>
    <t>Count True</t>
  </si>
  <si>
    <t>Count False</t>
  </si>
  <si>
    <t>Toss &amp; matchs</t>
  </si>
  <si>
    <t>Toss Win &amp; Matchs Win</t>
  </si>
  <si>
    <t>Toss Win &amp; Match Loss</t>
  </si>
  <si>
    <t>Count Toss win and Batting Choose</t>
  </si>
  <si>
    <t>Count Toss win and Fielding Choose</t>
  </si>
  <si>
    <t>Sum of First Innings Score</t>
  </si>
  <si>
    <t>Sum of Second Innings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</si>
</sst>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33" borderId="0" xfId="0" applyFill="1"/>
    <xf numFmtId="0" fontId="0" fillId="33" borderId="10"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2.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[ICC Mens T20 Worldcup.xlsx]Sheet2!PivotTable3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Sheet2!$B$4</c:f>
              <c:strCache>
                <c:ptCount val="1"/>
                <c:pt idx="0">
                  <c:v>Sum of First Innings Score</c:v>
                </c:pt>
              </c:strCache>
            </c:strRef>
          </c:tx>
          <c:spPr>
            <a:solidFill>
              <a:schemeClr val="accent1"/>
            </a:solidFill>
            <a:ln w="25400">
              <a:noFill/>
            </a:ln>
            <a:effectLst/>
          </c:spPr>
          <c:cat>
            <c:multiLvlStrRef>
              <c:f>Sheet2!$A$5:$A$23</c:f>
              <c:multiLvlStrCache>
                <c:ptCount val="9"/>
                <c:lvl>
                  <c:pt idx="0">
                    <c:v>Kingstown</c:v>
                  </c:pt>
                  <c:pt idx="1">
                    <c:v>Tarouba</c:v>
                  </c:pt>
                  <c:pt idx="2">
                    <c:v>Lauderhill</c:v>
                  </c:pt>
                  <c:pt idx="3">
                    <c:v>Gros Islet</c:v>
                  </c:pt>
                  <c:pt idx="4">
                    <c:v>Dallas</c:v>
                  </c:pt>
                  <c:pt idx="5">
                    <c:v>Bridgetown</c:v>
                  </c:pt>
                  <c:pt idx="6">
                    <c:v>New York</c:v>
                  </c:pt>
                  <c:pt idx="7">
                    <c:v>Providence</c:v>
                  </c:pt>
                  <c:pt idx="8">
                    <c:v>North Sound</c:v>
                  </c:pt>
                </c:lvl>
                <c:lvl>
                  <c:pt idx="0">
                    <c:v>Arnos Vale Ground</c:v>
                  </c:pt>
                  <c:pt idx="1">
                    <c:v>Brian Lara Stadium</c:v>
                  </c:pt>
                  <c:pt idx="2">
                    <c:v>Central Broward Regional Park Stadium Turf Ground</c:v>
                  </c:pt>
                  <c:pt idx="3">
                    <c:v>Daren Sammy National Cricket Stadium</c:v>
                  </c:pt>
                  <c:pt idx="4">
                    <c:v>Grand Prairie Stadium</c:v>
                  </c:pt>
                  <c:pt idx="5">
                    <c:v>Kensington Oval</c:v>
                  </c:pt>
                  <c:pt idx="6">
                    <c:v>Nassau County International Cricket Stadium</c:v>
                  </c:pt>
                  <c:pt idx="7">
                    <c:v>Providence Stadium</c:v>
                  </c:pt>
                  <c:pt idx="8">
                    <c:v>Sir Vivian Richards Stadium</c:v>
                  </c:pt>
                </c:lvl>
              </c:multiLvlStrCache>
            </c:multiLvlStrRef>
          </c:cat>
          <c:val>
            <c:numRef>
              <c:f>Sheet2!$B$5:$B$23</c:f>
              <c:numCache>
                <c:formatCode>General</c:formatCode>
                <c:ptCount val="9"/>
                <c:pt idx="0">
                  <c:v>643</c:v>
                </c:pt>
                <c:pt idx="1">
                  <c:v>418</c:v>
                </c:pt>
                <c:pt idx="2">
                  <c:v>106</c:v>
                </c:pt>
                <c:pt idx="3">
                  <c:v>1147</c:v>
                </c:pt>
                <c:pt idx="4">
                  <c:v>583</c:v>
                </c:pt>
                <c:pt idx="5">
                  <c:v>1319</c:v>
                </c:pt>
                <c:pt idx="6">
                  <c:v>861</c:v>
                </c:pt>
                <c:pt idx="7">
                  <c:v>869</c:v>
                </c:pt>
                <c:pt idx="8">
                  <c:v>1056</c:v>
                </c:pt>
              </c:numCache>
            </c:numRef>
          </c:val>
          <c:extLst>
            <c:ext xmlns:c16="http://schemas.microsoft.com/office/drawing/2014/chart" uri="{C3380CC4-5D6E-409C-BE32-E72D297353CC}">
              <c16:uniqueId val="{00000000-0C9D-4528-BF20-50D17152BE52}"/>
            </c:ext>
          </c:extLst>
        </c:ser>
        <c:ser>
          <c:idx val="1"/>
          <c:order val="1"/>
          <c:tx>
            <c:strRef>
              <c:f>Sheet2!$C$4</c:f>
              <c:strCache>
                <c:ptCount val="1"/>
                <c:pt idx="0">
                  <c:v>Sum of Second Innings Score</c:v>
                </c:pt>
              </c:strCache>
            </c:strRef>
          </c:tx>
          <c:spPr>
            <a:solidFill>
              <a:schemeClr val="accent2"/>
            </a:solidFill>
            <a:ln w="25400">
              <a:noFill/>
            </a:ln>
            <a:effectLst/>
          </c:spPr>
          <c:cat>
            <c:multiLvlStrRef>
              <c:f>Sheet2!$A$5:$A$23</c:f>
              <c:multiLvlStrCache>
                <c:ptCount val="9"/>
                <c:lvl>
                  <c:pt idx="0">
                    <c:v>Kingstown</c:v>
                  </c:pt>
                  <c:pt idx="1">
                    <c:v>Tarouba</c:v>
                  </c:pt>
                  <c:pt idx="2">
                    <c:v>Lauderhill</c:v>
                  </c:pt>
                  <c:pt idx="3">
                    <c:v>Gros Islet</c:v>
                  </c:pt>
                  <c:pt idx="4">
                    <c:v>Dallas</c:v>
                  </c:pt>
                  <c:pt idx="5">
                    <c:v>Bridgetown</c:v>
                  </c:pt>
                  <c:pt idx="6">
                    <c:v>New York</c:v>
                  </c:pt>
                  <c:pt idx="7">
                    <c:v>Providence</c:v>
                  </c:pt>
                  <c:pt idx="8">
                    <c:v>North Sound</c:v>
                  </c:pt>
                </c:lvl>
                <c:lvl>
                  <c:pt idx="0">
                    <c:v>Arnos Vale Ground</c:v>
                  </c:pt>
                  <c:pt idx="1">
                    <c:v>Brian Lara Stadium</c:v>
                  </c:pt>
                  <c:pt idx="2">
                    <c:v>Central Broward Regional Park Stadium Turf Ground</c:v>
                  </c:pt>
                  <c:pt idx="3">
                    <c:v>Daren Sammy National Cricket Stadium</c:v>
                  </c:pt>
                  <c:pt idx="4">
                    <c:v>Grand Prairie Stadium</c:v>
                  </c:pt>
                  <c:pt idx="5">
                    <c:v>Kensington Oval</c:v>
                  </c:pt>
                  <c:pt idx="6">
                    <c:v>Nassau County International Cricket Stadium</c:v>
                  </c:pt>
                  <c:pt idx="7">
                    <c:v>Providence Stadium</c:v>
                  </c:pt>
                  <c:pt idx="8">
                    <c:v>Sir Vivian Richards Stadium</c:v>
                  </c:pt>
                </c:lvl>
              </c:multiLvlStrCache>
            </c:multiLvlStrRef>
          </c:cat>
          <c:val>
            <c:numRef>
              <c:f>Sheet2!$C$5:$C$23</c:f>
              <c:numCache>
                <c:formatCode>General</c:formatCode>
                <c:ptCount val="9"/>
                <c:pt idx="0">
                  <c:v>565</c:v>
                </c:pt>
                <c:pt idx="1">
                  <c:v>417</c:v>
                </c:pt>
                <c:pt idx="2">
                  <c:v>111</c:v>
                </c:pt>
                <c:pt idx="3">
                  <c:v>936</c:v>
                </c:pt>
                <c:pt idx="4">
                  <c:v>591</c:v>
                </c:pt>
                <c:pt idx="5">
                  <c:v>1106</c:v>
                </c:pt>
                <c:pt idx="6">
                  <c:v>848</c:v>
                </c:pt>
                <c:pt idx="7">
                  <c:v>490</c:v>
                </c:pt>
                <c:pt idx="8">
                  <c:v>907</c:v>
                </c:pt>
              </c:numCache>
            </c:numRef>
          </c:val>
          <c:extLst>
            <c:ext xmlns:c16="http://schemas.microsoft.com/office/drawing/2014/chart" uri="{C3380CC4-5D6E-409C-BE32-E72D297353CC}">
              <c16:uniqueId val="{00000001-0C9D-4528-BF20-50D17152BE52}"/>
            </c:ext>
          </c:extLst>
        </c:ser>
        <c:dLbls>
          <c:showLegendKey val="0"/>
          <c:showVal val="0"/>
          <c:showCatName val="0"/>
          <c:showSerName val="0"/>
          <c:showPercent val="0"/>
          <c:showBubbleSize val="0"/>
        </c:dLbls>
        <c:axId val="1867820512"/>
        <c:axId val="1867820032"/>
      </c:areaChart>
      <c:catAx>
        <c:axId val="18678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20032"/>
        <c:crosses val="autoZero"/>
        <c:auto val="1"/>
        <c:lblAlgn val="ctr"/>
        <c:lblOffset val="100"/>
        <c:noMultiLvlLbl val="0"/>
      </c:catAx>
      <c:valAx>
        <c:axId val="18678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820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Avg 1st 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26342388451443571"/>
          <c:y val="0.13720930232558143"/>
          <c:w val="0.41204133858267716"/>
          <c:h val="0.67640165020412124"/>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Dashboard!$G$20:$G$28</c:f>
              <c:numCache>
                <c:formatCode>General</c:formatCode>
                <c:ptCount val="9"/>
                <c:pt idx="0">
                  <c:v>145.75</c:v>
                </c:pt>
                <c:pt idx="1">
                  <c:v>144.83333333333334</c:v>
                </c:pt>
                <c:pt idx="2">
                  <c:v>146.55555555555554</c:v>
                </c:pt>
                <c:pt idx="3">
                  <c:v>107.625</c:v>
                </c:pt>
                <c:pt idx="4">
                  <c:v>132</c:v>
                </c:pt>
                <c:pt idx="5">
                  <c:v>26.5</c:v>
                </c:pt>
                <c:pt idx="6">
                  <c:v>83.6</c:v>
                </c:pt>
                <c:pt idx="7">
                  <c:v>128.6</c:v>
                </c:pt>
                <c:pt idx="8">
                  <c:v>191.16666666666666</c:v>
                </c:pt>
              </c:numCache>
            </c:numRef>
          </c:val>
          <c:extLst>
            <c:ext xmlns:c16="http://schemas.microsoft.com/office/drawing/2014/chart" uri="{C3380CC4-5D6E-409C-BE32-E72D297353CC}">
              <c16:uniqueId val="{00000000-A34B-4584-88F8-D7926EB33A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Avg 2nd ing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Dashboard!$H$20:$H$28</c:f>
              <c:numCache>
                <c:formatCode>General</c:formatCode>
                <c:ptCount val="9"/>
                <c:pt idx="0">
                  <c:v>147.75</c:v>
                </c:pt>
                <c:pt idx="1">
                  <c:v>81.666666666666671</c:v>
                </c:pt>
                <c:pt idx="2">
                  <c:v>122.88888888888889</c:v>
                </c:pt>
                <c:pt idx="3">
                  <c:v>106</c:v>
                </c:pt>
                <c:pt idx="4">
                  <c:v>113.375</c:v>
                </c:pt>
                <c:pt idx="5">
                  <c:v>27.75</c:v>
                </c:pt>
                <c:pt idx="6">
                  <c:v>83.4</c:v>
                </c:pt>
                <c:pt idx="7">
                  <c:v>113</c:v>
                </c:pt>
                <c:pt idx="8">
                  <c:v>156</c:v>
                </c:pt>
              </c:numCache>
            </c:numRef>
          </c:val>
          <c:extLst>
            <c:ext xmlns:c16="http://schemas.microsoft.com/office/drawing/2014/chart" uri="{C3380CC4-5D6E-409C-BE32-E72D297353CC}">
              <c16:uniqueId val="{00000000-4EC7-47DC-9CC9-8D647B2CE1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Avg 1st ing Wickets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Dashboard!$I$20:$I$28</c:f>
              <c:numCache>
                <c:formatCode>General</c:formatCode>
                <c:ptCount val="9"/>
                <c:pt idx="0">
                  <c:v>7.75</c:v>
                </c:pt>
                <c:pt idx="1">
                  <c:v>6.833333333333333</c:v>
                </c:pt>
                <c:pt idx="2">
                  <c:v>7.333333333333333</c:v>
                </c:pt>
                <c:pt idx="3">
                  <c:v>8.375</c:v>
                </c:pt>
                <c:pt idx="4">
                  <c:v>7.125</c:v>
                </c:pt>
                <c:pt idx="5">
                  <c:v>2.25</c:v>
                </c:pt>
                <c:pt idx="6">
                  <c:v>9.8000000000000007</c:v>
                </c:pt>
                <c:pt idx="7">
                  <c:v>6.6</c:v>
                </c:pt>
                <c:pt idx="8">
                  <c:v>5.166666666666667</c:v>
                </c:pt>
              </c:numCache>
            </c:numRef>
          </c:val>
          <c:extLst>
            <c:ext xmlns:c16="http://schemas.microsoft.com/office/drawing/2014/chart" uri="{C3380CC4-5D6E-409C-BE32-E72D297353CC}">
              <c16:uniqueId val="{00000000-A2C9-4F65-852A-1F2F58CBB48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Avg 1st ing Wickets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Dashboard!$J$20:$J$28</c:f>
              <c:numCache>
                <c:formatCode>General</c:formatCode>
                <c:ptCount val="9"/>
                <c:pt idx="0">
                  <c:v>4.5</c:v>
                </c:pt>
                <c:pt idx="1">
                  <c:v>8.8333333333333339</c:v>
                </c:pt>
                <c:pt idx="2">
                  <c:v>5</c:v>
                </c:pt>
                <c:pt idx="3">
                  <c:v>4.875</c:v>
                </c:pt>
                <c:pt idx="4">
                  <c:v>4</c:v>
                </c:pt>
                <c:pt idx="5">
                  <c:v>1.75</c:v>
                </c:pt>
                <c:pt idx="6">
                  <c:v>3.4</c:v>
                </c:pt>
                <c:pt idx="7">
                  <c:v>9</c:v>
                </c:pt>
                <c:pt idx="8">
                  <c:v>6.666666666666667</c:v>
                </c:pt>
              </c:numCache>
            </c:numRef>
          </c:val>
          <c:extLst>
            <c:ext xmlns:c16="http://schemas.microsoft.com/office/drawing/2014/chart" uri="{C3380CC4-5D6E-409C-BE32-E72D297353CC}">
              <c16:uniqueId val="{00000000-705E-4432-8705-6BB3C17A7AA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Match</a:t>
            </a:r>
            <a:r>
              <a:rPr lang="en-IN" baseline="0"/>
              <a:t> Wins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75376884422109"/>
          <c:y val="0.2452548118985127"/>
          <c:w val="0.64637129215631961"/>
          <c:h val="0.61122666958296867"/>
        </c:manualLayout>
      </c:layout>
      <c:pie3DChart>
        <c:varyColors val="1"/>
        <c:ser>
          <c:idx val="0"/>
          <c:order val="0"/>
          <c:explosion val="4"/>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Dashboard!$E$13:$E$14</c:f>
              <c:strCache>
                <c:ptCount val="2"/>
                <c:pt idx="0">
                  <c:v>Toss Win &amp; Matchs Win</c:v>
                </c:pt>
                <c:pt idx="1">
                  <c:v>Toss Win &amp; Match Loss</c:v>
                </c:pt>
              </c:strCache>
            </c:strRef>
          </c:cat>
          <c:val>
            <c:numRef>
              <c:f>Dashboard!$G$6:$H$6</c:f>
              <c:numCache>
                <c:formatCode>General</c:formatCode>
                <c:ptCount val="2"/>
                <c:pt idx="0">
                  <c:v>32</c:v>
                </c:pt>
                <c:pt idx="1">
                  <c:v>24</c:v>
                </c:pt>
              </c:numCache>
            </c:numRef>
          </c:val>
          <c:extLst>
            <c:ext xmlns:c16="http://schemas.microsoft.com/office/drawing/2014/chart" uri="{C3380CC4-5D6E-409C-BE32-E72D297353CC}">
              <c16:uniqueId val="{00000000-35E1-45FA-BFB2-6AB69C45CCD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1687776796396874"/>
          <c:y val="0.30133906377792391"/>
          <c:w val="0.25925588358734392"/>
          <c:h val="0.44467394732481247"/>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Toss Win &amp;</a:t>
            </a:r>
            <a:r>
              <a:rPr lang="en-IN" baseline="0"/>
              <a:t> </a:t>
            </a:r>
            <a:r>
              <a:rPr lang="en-IN"/>
              <a:t>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Dashboard!$D$13:$D$14</c:f>
              <c:strCache>
                <c:ptCount val="2"/>
                <c:pt idx="0">
                  <c:v>Batting</c:v>
                </c:pt>
                <c:pt idx="1">
                  <c:v>Fielding</c:v>
                </c:pt>
              </c:strCache>
            </c:strRef>
          </c:cat>
          <c:val>
            <c:numRef>
              <c:f>Dashboard!$I$6:$J$6</c:f>
              <c:numCache>
                <c:formatCode>General</c:formatCode>
                <c:ptCount val="2"/>
                <c:pt idx="0">
                  <c:v>10</c:v>
                </c:pt>
                <c:pt idx="1">
                  <c:v>42</c:v>
                </c:pt>
              </c:numCache>
            </c:numRef>
          </c:val>
          <c:extLst>
            <c:ext xmlns:c16="http://schemas.microsoft.com/office/drawing/2014/chart" uri="{C3380CC4-5D6E-409C-BE32-E72D297353CC}">
              <c16:uniqueId val="{00000000-B34D-49BC-A15E-9232AC16D0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101237</xdr:colOff>
      <xdr:row>31</xdr:row>
      <xdr:rowOff>157299</xdr:rowOff>
    </xdr:from>
    <xdr:to>
      <xdr:col>4</xdr:col>
      <xdr:colOff>1754777</xdr:colOff>
      <xdr:row>58</xdr:row>
      <xdr:rowOff>14152</xdr:rowOff>
    </xdr:to>
    <xdr:graphicFrame macro="">
      <xdr:nvGraphicFramePr>
        <xdr:cNvPr id="5" name="Chart 4">
          <a:extLst>
            <a:ext uri="{FF2B5EF4-FFF2-40B4-BE49-F238E27FC236}">
              <a16:creationId xmlns:a16="http://schemas.microsoft.com/office/drawing/2014/main" id="{009971BA-95D7-3435-8787-56E17267B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1029258</xdr:colOff>
      <xdr:row>10</xdr:row>
      <xdr:rowOff>743</xdr:rowOff>
    </xdr:from>
    <xdr:to>
      <xdr:col>4</xdr:col>
      <xdr:colOff>423375</xdr:colOff>
      <xdr:row>23</xdr:row>
      <xdr:rowOff>51621</xdr:rowOff>
    </xdr:to>
    <mc:AlternateContent xmlns:mc="http://schemas.openxmlformats.org/markup-compatibility/2006">
      <mc:Choice xmlns:a14="http://schemas.microsoft.com/office/drawing/2010/main" Requires="a14">
        <xdr:graphicFrame macro="">
          <xdr:nvGraphicFramePr>
            <xdr:cNvPr id="6" name="Date of Match">
              <a:extLst>
                <a:ext uri="{FF2B5EF4-FFF2-40B4-BE49-F238E27FC236}">
                  <a16:creationId xmlns:a16="http://schemas.microsoft.com/office/drawing/2014/main" id="{8A64F71E-8F1D-6008-0CC7-EE4D6D71557F}"/>
                </a:ext>
              </a:extLst>
            </xdr:cNvPr>
            <xdr:cNvGraphicFramePr/>
          </xdr:nvGraphicFramePr>
          <xdr:xfrm>
            <a:off x="0" y="0"/>
            <a:ext cx="0" cy="0"/>
          </xdr:xfrm>
          <a:graphic>
            <a:graphicData uri="http://schemas.microsoft.com/office/drawing/2010/slicer">
              <sle:slicer xmlns:sle="http://schemas.microsoft.com/office/drawing/2010/slicer" name="Date of Match"/>
            </a:graphicData>
          </a:graphic>
        </xdr:graphicFrame>
      </mc:Choice>
      <mc:Fallback>
        <xdr:sp macro="" textlink="">
          <xdr:nvSpPr>
            <xdr:cNvPr id="0" name=""/>
            <xdr:cNvSpPr>
              <a:spLocks noTextEdit="1"/>
            </xdr:cNvSpPr>
          </xdr:nvSpPr>
          <xdr:spPr>
            <a:xfrm>
              <a:off x="5852160" y="1859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31</xdr:row>
      <xdr:rowOff>152400</xdr:rowOff>
    </xdr:from>
    <xdr:to>
      <xdr:col>3</xdr:col>
      <xdr:colOff>2529840</xdr:colOff>
      <xdr:row>43</xdr:row>
      <xdr:rowOff>175260</xdr:rowOff>
    </xdr:to>
    <xdr:graphicFrame macro="">
      <xdr:nvGraphicFramePr>
        <xdr:cNvPr id="9" name="Chart 8">
          <a:extLst>
            <a:ext uri="{FF2B5EF4-FFF2-40B4-BE49-F238E27FC236}">
              <a16:creationId xmlns:a16="http://schemas.microsoft.com/office/drawing/2014/main" id="{67FA65E6-65F8-A178-AB9A-1486DE22E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2590800</xdr:colOff>
      <xdr:row>31</xdr:row>
      <xdr:rowOff>133350</xdr:rowOff>
    </xdr:from>
    <xdr:to>
      <xdr:col>5</xdr:col>
      <xdr:colOff>586740</xdr:colOff>
      <xdr:row>43</xdr:row>
      <xdr:rowOff>152400</xdr:rowOff>
    </xdr:to>
    <xdr:graphicFrame macro="">
      <xdr:nvGraphicFramePr>
        <xdr:cNvPr id="10" name="Chart 9">
          <a:extLst>
            <a:ext uri="{FF2B5EF4-FFF2-40B4-BE49-F238E27FC236}">
              <a16:creationId xmlns:a16="http://schemas.microsoft.com/office/drawing/2014/main" id="{309107AB-62C1-CD41-067B-3EEF51839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647700</xdr:colOff>
      <xdr:row>31</xdr:row>
      <xdr:rowOff>144780</xdr:rowOff>
    </xdr:from>
    <xdr:to>
      <xdr:col>7</xdr:col>
      <xdr:colOff>723900</xdr:colOff>
      <xdr:row>43</xdr:row>
      <xdr:rowOff>152400</xdr:rowOff>
    </xdr:to>
    <xdr:graphicFrame macro="">
      <xdr:nvGraphicFramePr>
        <xdr:cNvPr id="11" name="Chart 10">
          <a:extLst>
            <a:ext uri="{FF2B5EF4-FFF2-40B4-BE49-F238E27FC236}">
              <a16:creationId xmlns:a16="http://schemas.microsoft.com/office/drawing/2014/main" id="{3BE5AE98-CD53-0E21-C6A3-98350B8E6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800100</xdr:colOff>
      <xdr:row>31</xdr:row>
      <xdr:rowOff>152400</xdr:rowOff>
    </xdr:from>
    <xdr:to>
      <xdr:col>9</xdr:col>
      <xdr:colOff>960120</xdr:colOff>
      <xdr:row>43</xdr:row>
      <xdr:rowOff>167640</xdr:rowOff>
    </xdr:to>
    <xdr:graphicFrame macro="">
      <xdr:nvGraphicFramePr>
        <xdr:cNvPr id="12" name="Chart 11">
          <a:extLst>
            <a:ext uri="{FF2B5EF4-FFF2-40B4-BE49-F238E27FC236}">
              <a16:creationId xmlns:a16="http://schemas.microsoft.com/office/drawing/2014/main" id="{0B5D0C93-DB19-9B4B-D007-4644B3F7A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45</xdr:row>
      <xdr:rowOff>171450</xdr:rowOff>
    </xdr:from>
    <xdr:to>
      <xdr:col>3</xdr:col>
      <xdr:colOff>2849880</xdr:colOff>
      <xdr:row>56</xdr:row>
      <xdr:rowOff>30480</xdr:rowOff>
    </xdr:to>
    <xdr:graphicFrame macro="">
      <xdr:nvGraphicFramePr>
        <xdr:cNvPr id="14" name="Chart 13">
          <a:extLst>
            <a:ext uri="{FF2B5EF4-FFF2-40B4-BE49-F238E27FC236}">
              <a16:creationId xmlns:a16="http://schemas.microsoft.com/office/drawing/2014/main" id="{9FCA7384-18E5-F8C3-AF1E-E1D3F2D51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30480</xdr:colOff>
      <xdr:row>45</xdr:row>
      <xdr:rowOff>163830</xdr:rowOff>
    </xdr:from>
    <xdr:to>
      <xdr:col>5</xdr:col>
      <xdr:colOff>1104900</xdr:colOff>
      <xdr:row>56</xdr:row>
      <xdr:rowOff>15240</xdr:rowOff>
    </xdr:to>
    <xdr:graphicFrame macro="">
      <xdr:nvGraphicFramePr>
        <xdr:cNvPr id="16" name="Chart 15">
          <a:extLst>
            <a:ext uri="{FF2B5EF4-FFF2-40B4-BE49-F238E27FC236}">
              <a16:creationId xmlns:a16="http://schemas.microsoft.com/office/drawing/2014/main" id="{4F837C4F-3FA0-33F2-C28B-10AD2092D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nna Prasanth" refreshedDate="46158.728959953703" backgroundQuery="1" createdVersion="8" refreshedVersion="8" minRefreshableVersion="3" recordCount="0" supportSubquery="1" supportAdvancedDrill="1" xr:uid="{1B63AE3F-232D-46D2-8631-D2B17A6AFDE9}">
  <cacheSource type="external" connectionId="1"/>
  <cacheFields count="6">
    <cacheField name="[Measures].[Sum of Second Innings Score]" caption="Sum of Second Innings Score" numFmtId="0" hierarchy="41" level="32767"/>
    <cacheField name="[Range].[Match No.].[Match No.]" caption="Match No." numFmtId="0" level="1">
      <sharedItems count="55">
        <s v="27th"/>
        <s v="31th"/>
        <s v="37th"/>
        <s v="48th"/>
        <s v="52th"/>
        <s v="26th"/>
        <s v="29th"/>
        <s v="32th"/>
        <s v="39th"/>
        <s v="53th"/>
        <s v="23th"/>
        <s v="30th"/>
        <s v="33th"/>
        <s v="36th"/>
        <s v="35th"/>
        <s v="38th"/>
        <s v="40th"/>
        <s v="42th"/>
        <s v="45th"/>
        <s v="51th"/>
        <s v="11th"/>
        <s v="15th"/>
        <s v="1st"/>
        <s v="7th"/>
        <s v="10th"/>
        <s v="12th"/>
        <s v="17th"/>
        <s v="3rd"/>
        <s v="43th"/>
        <s v="46th"/>
        <s v="49th"/>
        <s v="55th"/>
        <s v="6th"/>
        <s v="13th"/>
        <s v="16th"/>
        <s v="19th"/>
        <s v="21th"/>
        <s v="22th"/>
        <s v="25th"/>
        <s v="4th"/>
        <s v="8th"/>
        <s v="14th"/>
        <s v="18th"/>
        <s v="2nd"/>
        <s v="54th"/>
        <s v="5th"/>
        <s v="9th"/>
        <s v="20th"/>
        <s v="24th"/>
        <s v="28th"/>
        <s v="34th"/>
        <s v="41th"/>
        <s v="44th"/>
        <s v="47th"/>
        <s v="50th"/>
      </sharedItems>
    </cacheField>
    <cacheField name="[Measures].[Sum of First Innings Score]" caption="Sum of First Innings Score" numFmtId="0" hierarchy="39" level="32767"/>
    <cacheField name="[Range].[Venue Stadium].[Venue Stadium]" caption="Venue Stadium" numFmtId="0" hierarchy="2" level="1">
      <sharedItems count="9">
        <s v="Arnos Vale Ground"/>
        <s v="Brian Lara Stadium"/>
        <s v="Central Broward Regional Park Stadium Turf Ground"/>
        <s v="Daren Sammy National Cricket Stadium"/>
        <s v="Grand Prairie Stadium"/>
        <s v="Kensington Oval"/>
        <s v="Nassau County International Cricket Stadium"/>
        <s v="Providence Stadium"/>
        <s v="Sir Vivian Richards Stadium"/>
      </sharedItems>
    </cacheField>
    <cacheField name="[Range].[Venue City].[Venue City]" caption="Venue City" numFmtId="0" hierarchy="3" level="1">
      <sharedItems count="9">
        <s v="Kingstown"/>
        <s v="Tarouba"/>
        <s v="Lauderhill"/>
        <s v="Gros Islet"/>
        <s v="Dallas"/>
        <s v="Bridgetown"/>
        <s v="New York"/>
        <s v="Providence"/>
        <s v="North Sound"/>
      </sharedItems>
    </cacheField>
    <cacheField name="[Range].[Date of Match].[Date of Match]" caption="Date of Match" numFmtId="0" hierarchy="1" level="1">
      <sharedItems containsSemiMixedTypes="0" containsNonDate="0" containsString="0"/>
    </cacheField>
  </cacheFields>
  <cacheHierarchies count="43">
    <cacheHierarchy uniqueName="[Range].[Match No.]" caption="Match No." attribute="1" defaultMemberUniqueName="[Range].[Match No.].[All]" allUniqueName="[Range].[Match No.].[All]" dimensionUniqueName="[Range]" displayFolder="" count="2" memberValueDatatype="130" unbalanced="0">
      <fieldsUsage count="2">
        <fieldUsage x="-1"/>
        <fieldUsage x="1"/>
      </fieldsUsage>
    </cacheHierarchy>
    <cacheHierarchy uniqueName="[Range].[Date of Match]" caption="Date of Match" attribute="1" defaultMemberUniqueName="[Range].[Date of Match].[All]" allUniqueName="[Range].[Date of Match].[All]" dimensionUniqueName="[Range]" displayFolder="" count="2" memberValueDatatype="130" unbalanced="0">
      <fieldsUsage count="2">
        <fieldUsage x="-1"/>
        <fieldUsage x="5"/>
      </fieldsUsage>
    </cacheHierarchy>
    <cacheHierarchy uniqueName="[Range].[Venue Stadium]" caption="Venue Stadium" attribute="1" defaultMemberUniqueName="[Range].[Venue Stadium].[All]" allUniqueName="[Range].[Venue Stadium].[All]" dimensionUniqueName="[Range]" displayFolder="" count="2" memberValueDatatype="130" unbalanced="0">
      <fieldsUsage count="2">
        <fieldUsage x="-1"/>
        <fieldUsage x="3"/>
      </fieldsUsage>
    </cacheHierarchy>
    <cacheHierarchy uniqueName="[Range].[Venue City]" caption="Venue City" attribute="1" defaultMemberUniqueName="[Range].[Venue City].[All]" allUniqueName="[Range].[Venue City].[All]" dimensionUniqueName="[Range]" displayFolder="" count="2" memberValueDatatype="130" unbalanced="0">
      <fieldsUsage count="2">
        <fieldUsage x="-1"/>
        <fieldUsage x="4"/>
      </fieldsUsage>
    </cacheHierarchy>
    <cacheHierarchy uniqueName="[Range].[1st Team]" caption="1st Team" attribute="1" defaultMemberUniqueName="[Range].[1st Team].[All]" allUniqueName="[Range].[1st Team].[All]" dimensionUniqueName="[Range]" displayFolder="" count="2" memberValueDatatype="130" unbalanced="0"/>
    <cacheHierarchy uniqueName="[Range].[2nd Team]" caption="2nd Team" attribute="1" defaultMemberUniqueName="[Range].[2nd Team].[All]" allUniqueName="[Range].[2nd Team].[All]" dimensionUniqueName="[Range]" displayFolder="" count="2" memberValueDatatype="130" unbalanced="0"/>
    <cacheHierarchy uniqueName="[Range].[Stage]" caption="Stage" attribute="1" defaultMemberUniqueName="[Range].[Stage].[All]" allUniqueName="[Range].[Stage].[All]" dimensionUniqueName="[Range]" displayFolder="" count="2" memberValueDatatype="130" unbalanced="0"/>
    <cacheHierarchy uniqueName="[Range].[Umpire 1]" caption="Umpire 1" attribute="1" defaultMemberUniqueName="[Range].[Umpire 1].[All]" allUniqueName="[Range].[Umpire 1].[All]" dimensionUniqueName="[Range]" displayFolder="" count="2" memberValueDatatype="130" unbalanced="0"/>
    <cacheHierarchy uniqueName="[Range].[Umpire 2]" caption="Umpire 2" attribute="1" defaultMemberUniqueName="[Range].[Umpire 2].[All]" allUniqueName="[Range].[Umpire 2].[All]" dimensionUniqueName="[Range]" displayFolder="" count="2" memberValueDatatype="130" unbalanced="0"/>
    <cacheHierarchy uniqueName="[Range].[Reserve Umpire]" caption="Reserve Umpire" attribute="1" defaultMemberUniqueName="[Range].[Reserve Umpire].[All]" allUniqueName="[Range].[Reserve Umpire].[All]" dimensionUniqueName="[Range]" displayFolder="" count="2" memberValueDatatype="130" unbalanced="0"/>
    <cacheHierarchy uniqueName="[Range].[Match Referee]" caption="Match Referee" attribute="1" defaultMemberUniqueName="[Range].[Match Referee].[All]" allUniqueName="[Range].[Match Referee].[All]" dimensionUniqueName="[Range]" displayFolder="" count="2" memberValueDatatype="130" unbalanced="0"/>
    <cacheHierarchy uniqueName="[Range].[TV Umpire]" caption="TV Umpire" attribute="1" defaultMemberUniqueName="[Range].[TV Umpire].[All]" allUniqueName="[Range].[TV Umpire].[All]" dimensionUniqueName="[Range]" displayFolder="" count="2" memberValueDatatype="130" unbalanced="0"/>
    <cacheHierarchy uniqueName="[Range].[Toss Winning]" caption="Toss Winning" attribute="1" defaultMemberUniqueName="[Range].[Toss Winning].[All]" allUniqueName="[Range].[Toss Winning].[All]" dimensionUniqueName="[Range]" displayFolder="" count="2" memberValueDatatype="130" unbalanced="0"/>
    <cacheHierarchy uniqueName="[Range].[Toss Loser]" caption="Toss Loser" attribute="1" defaultMemberUniqueName="[Range].[Toss Loser].[All]" allUniqueName="[Range].[Toss Loser].[All]" dimensionUniqueName="[Range]" displayFolder="" count="2" memberValueDatatype="130" unbalanced="0"/>
    <cacheHierarchy uniqueName="[Range].[Toss Decision]" caption="Toss Decision" attribute="1" defaultMemberUniqueName="[Range].[Toss Decision].[All]" allUniqueName="[Range].[Toss Decision].[All]" dimensionUniqueName="[Range]" displayFolder="" count="2" memberValueDatatype="130" unbalanced="0"/>
    <cacheHierarchy uniqueName="[Range].[Match Result]" caption="Match Result" attribute="1" defaultMemberUniqueName="[Range].[Match Result].[All]" allUniqueName="[Range].[Match Result].[All]" dimensionUniqueName="[Range]" displayFolder="" count="2" memberValueDatatype="130" unbalanced="0"/>
    <cacheHierarchy uniqueName="[Range].[First Innings Score]" caption="First Innings Score" attribute="1" defaultMemberUniqueName="[Range].[First Innings Score].[All]" allUniqueName="[Range].[First Innings Score].[All]" dimensionUniqueName="[Range]" displayFolder="" count="2" memberValueDatatype="20" unbalanced="0"/>
    <cacheHierarchy uniqueName="[Range].[Fall of wickets First Innings]" caption="Fall of wickets First Innings" attribute="1" defaultMemberUniqueName="[Range].[Fall of wickets First Innings].[All]" allUniqueName="[Range].[Fall of wickets First Innings].[All]" dimensionUniqueName="[Range]" displayFolder="" count="2" memberValueDatatype="20" unbalanced="0"/>
    <cacheHierarchy uniqueName="[Range].[Second Innings Score]" caption="Second Innings Score" attribute="1" defaultMemberUniqueName="[Range].[Second Innings Score].[All]" allUniqueName="[Range].[Second Innings Score].[All]" dimensionUniqueName="[Range]" displayFolder="" count="2" memberValueDatatype="20" unbalanced="0"/>
    <cacheHierarchy uniqueName="[Range].[Fall of wickets Second Innings]" caption="Fall of wickets Second Innings" attribute="1" defaultMemberUniqueName="[Range].[Fall of wickets Second Innings].[All]" allUniqueName="[Range].[Fall of wickets Second Innings].[All]" dimensionUniqueName="[Range]" displayFolder="" count="2" memberValueDatatype="20" unbalanced="0"/>
    <cacheHierarchy uniqueName="[Range].[Winners]" caption="Winners" attribute="1" defaultMemberUniqueName="[Range].[Winners].[All]" allUniqueName="[Range].[Winners].[All]" dimensionUniqueName="[Range]" displayFolder="" count="2" memberValueDatatype="130" unbalanced="0"/>
    <cacheHierarchy uniqueName="[Range].[Losers]" caption="Losers" attribute="1" defaultMemberUniqueName="[Range].[Losers].[All]" allUniqueName="[Range].[Losers].[All]" dimensionUniqueName="[Range]" displayFolder="" count="2" memberValueDatatype="130" unbalanced="0"/>
    <cacheHierarchy uniqueName="[Range].[Method]" caption="Method" attribute="1" defaultMemberUniqueName="[Range].[Method].[All]" allUniqueName="[Range].[Method].[All]" dimensionUniqueName="[Range]" displayFolder="" count="2" memberValueDatatype="130" unbalanced="0"/>
    <cacheHierarchy uniqueName="[Range].[Won by]" caption="Won by" attribute="1" defaultMemberUniqueName="[Range].[Won by].[All]" allUniqueName="[Range].[Won by].[All]" dimensionUniqueName="[Range]" displayFolder="" count="2" memberValueDatatype="130" unbalanced="0"/>
    <cacheHierarchy uniqueName="[Range].[Winning Margin]" caption="Winning Margin" attribute="1" defaultMemberUniqueName="[Range].[Winning Margin].[All]" allUniqueName="[Range].[Winning Margin].[All]" dimensionUniqueName="[Range]" displayFolder="" count="2" memberValueDatatype="20" unbalanced="0"/>
    <cacheHierarchy uniqueName="[Range].[Top Run Scorer]" caption="Top Run Scorer" attribute="1" defaultMemberUniqueName="[Range].[Top Run Scorer].[All]" allUniqueName="[Range].[Top Run Scorer].[All]" dimensionUniqueName="[Range]" displayFolder="" count="2" memberValueDatatype="130" unbalanced="0"/>
    <cacheHierarchy uniqueName="[Range].[Highest Score]" caption="Highest Score" attribute="1" defaultMemberUniqueName="[Range].[Highest Score].[All]" allUniqueName="[Range].[Highest Score].[All]" dimensionUniqueName="[Range]" displayFolder="" count="2" memberValueDatatype="20" unbalanced="0"/>
    <cacheHierarchy uniqueName="[Range].[Best Bowler]" caption="Best Bowler" attribute="1" defaultMemberUniqueName="[Range].[Best Bowler].[All]" allUniqueName="[Range].[Best Bowler].[All]" dimensionUniqueName="[Range]" displayFolder="" count="2" memberValueDatatype="130" unbalanced="0"/>
    <cacheHierarchy uniqueName="[Range].[Best Bowler Figure(Wickets Taken)]" caption="Best Bowler Figure(Wickets Taken)" attribute="1" defaultMemberUniqueName="[Range].[Best Bowler Figure(Wickets Taken)].[All]" allUniqueName="[Range].[Best Bowler Figure(Wickets Taken)].[All]" dimensionUniqueName="[Range]" displayFolder="" count="2" memberValueDatatype="20" unbalanced="0"/>
    <cacheHierarchy uniqueName="[Range].[Best Bowler Figure(Runs Recieved)]" caption="Best Bowler Figure(Runs Recieved)" attribute="1" defaultMemberUniqueName="[Range].[Best Bowler Figure(Runs Recieved)].[All]" allUniqueName="[Range].[Best Bowler Figure(Runs Recieved)].[All]" dimensionUniqueName="[Range]" displayFolder="" count="2" memberValueDatatype="20" unbalanced="0"/>
    <cacheHierarchy uniqueName="[Range].[Player Of The Match]" caption="Player Of The Match" attribute="1" defaultMemberUniqueName="[Range].[Player Of The Match].[All]" allUniqueName="[Range].[Player Of The Match].[All]" dimensionUniqueName="[Range]" displayFolder="" count="2" memberValueDatatype="130" unbalanced="0"/>
    <cacheHierarchy uniqueName="[Range].[Super Over Match]" caption="Super Over Match" attribute="1" defaultMemberUniqueName="[Range].[Super Over Match].[All]" allUniqueName="[Range].[Super Over Match].[All]" dimensionUniqueName="[Range]" displayFolder="" count="2" memberValueDatatype="130" unbalanced="0"/>
    <cacheHierarchy uniqueName="[Table1].[Column1]" caption="Column1" attribute="1" defaultMemberUniqueName="[Table1].[Column1].[All]" allUniqueName="[Table1].[Column1].[All]" dimensionUniqueName="[Table1]"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Winners]" caption="Count of Winners" measure="1" displayFolder="" measureGroup="Range" count="0" hidden="1">
      <extLst>
        <ext xmlns:x15="http://schemas.microsoft.com/office/spreadsheetml/2010/11/main" uri="{B97F6D7D-B522-45F9-BDA1-12C45D357490}">
          <x15:cacheHierarchy aggregatedColumn="20"/>
        </ext>
      </extLst>
    </cacheHierarchy>
    <cacheHierarchy uniqueName="[Measures].[Count of Toss Winning]" caption="Count of Toss Winning" measure="1" displayFolder="" measureGroup="Range" count="0" hidden="1">
      <extLst>
        <ext xmlns:x15="http://schemas.microsoft.com/office/spreadsheetml/2010/11/main" uri="{B97F6D7D-B522-45F9-BDA1-12C45D357490}">
          <x15:cacheHierarchy aggregatedColumn="12"/>
        </ext>
      </extLst>
    </cacheHierarchy>
    <cacheHierarchy uniqueName="[Measures].[Count of Venue Stadium]" caption="Count of Venue Stadium" measure="1" displayFolder="" measureGroup="Range" count="0" hidden="1">
      <extLst>
        <ext xmlns:x15="http://schemas.microsoft.com/office/spreadsheetml/2010/11/main" uri="{B97F6D7D-B522-45F9-BDA1-12C45D357490}">
          <x15:cacheHierarchy aggregatedColumn="2"/>
        </ext>
      </extLst>
    </cacheHierarchy>
    <cacheHierarchy uniqueName="[Measures].[Sum of First Innings Score]" caption="Sum of First Innings Score"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Fall of wickets First Innings]" caption="Sum of Fall of wickets First Innings" measure="1" displayFolder="" measureGroup="Range" count="0" hidden="1">
      <extLst>
        <ext xmlns:x15="http://schemas.microsoft.com/office/spreadsheetml/2010/11/main" uri="{B97F6D7D-B522-45F9-BDA1-12C45D357490}">
          <x15:cacheHierarchy aggregatedColumn="17"/>
        </ext>
      </extLst>
    </cacheHierarchy>
    <cacheHierarchy uniqueName="[Measures].[Sum of Second Innings Score]" caption="Sum of Second Innings Score"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Fall of wickets Second Innings]" caption="Sum of Fall of wickets Second Innings" measure="1" displayFolder="" measureGroup="Range" count="0" hidden="1">
      <extLst>
        <ext xmlns:x15="http://schemas.microsoft.com/office/spreadsheetml/2010/11/main" uri="{B97F6D7D-B522-45F9-BDA1-12C45D357490}">
          <x15:cacheHierarchy aggregatedColumn="19"/>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sanna Prasanth" refreshedDate="46158.72757800926" backgroundQuery="1" createdVersion="3" refreshedVersion="8" minRefreshableVersion="3" recordCount="0" supportSubquery="1" supportAdvancedDrill="1" xr:uid="{0B843336-2B48-476D-A8D5-4D5203765CAA}">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Range].[Match No.]" caption="Match No." attribute="1" defaultMemberUniqueName="[Range].[Match No.].[All]" allUniqueName="[Range].[Match No.].[All]" dimensionUniqueName="[Range]" displayFolder="" count="0" memberValueDatatype="130" unbalanced="0"/>
    <cacheHierarchy uniqueName="[Range].[Date of Match]" caption="Date of Match" attribute="1" defaultMemberUniqueName="[Range].[Date of Match].[All]" allUniqueName="[Range].[Date of Match].[All]" dimensionUniqueName="[Range]" displayFolder="" count="2" memberValueDatatype="130" unbalanced="0"/>
    <cacheHierarchy uniqueName="[Range].[Venue Stadium]" caption="Venue Stadium" attribute="1" defaultMemberUniqueName="[Range].[Venue Stadium].[All]" allUniqueName="[Range].[Venue Stadium].[All]" dimensionUniqueName="[Range]" displayFolder="" count="0" memberValueDatatype="130" unbalanced="0"/>
    <cacheHierarchy uniqueName="[Range].[Venue City]" caption="Venue City" attribute="1" defaultMemberUniqueName="[Range].[Venue City].[All]" allUniqueName="[Range].[Venue City].[All]" dimensionUniqueName="[Range]" displayFolder="" count="0" memberValueDatatype="130" unbalanced="0"/>
    <cacheHierarchy uniqueName="[Range].[1st Team]" caption="1st Team" attribute="1" defaultMemberUniqueName="[Range].[1st Team].[All]" allUniqueName="[Range].[1st Team].[All]" dimensionUniqueName="[Range]" displayFolder="" count="0" memberValueDatatype="130" unbalanced="0"/>
    <cacheHierarchy uniqueName="[Range].[2nd Team]" caption="2nd Team" attribute="1" defaultMemberUniqueName="[Range].[2nd Team].[All]" allUniqueName="[Range].[2nd Team].[All]" dimensionUniqueName="[Range]" displayFolder="" count="0" memberValueDatatype="130" unbalanced="0"/>
    <cacheHierarchy uniqueName="[Range].[Stage]" caption="Stage" attribute="1" defaultMemberUniqueName="[Range].[Stage].[All]" allUniqueName="[Range].[Stage].[All]" dimensionUniqueName="[Range]" displayFolder="" count="0" memberValueDatatype="130" unbalanced="0"/>
    <cacheHierarchy uniqueName="[Range].[Umpire 1]" caption="Umpire 1" attribute="1" defaultMemberUniqueName="[Range].[Umpire 1].[All]" allUniqueName="[Range].[Umpire 1].[All]" dimensionUniqueName="[Range]" displayFolder="" count="0" memberValueDatatype="130" unbalanced="0"/>
    <cacheHierarchy uniqueName="[Range].[Umpire 2]" caption="Umpire 2" attribute="1" defaultMemberUniqueName="[Range].[Umpire 2].[All]" allUniqueName="[Range].[Umpire 2].[All]" dimensionUniqueName="[Range]" displayFolder="" count="0" memberValueDatatype="130" unbalanced="0"/>
    <cacheHierarchy uniqueName="[Range].[Reserve Umpire]" caption="Reserve Umpire" attribute="1" defaultMemberUniqueName="[Range].[Reserve Umpire].[All]" allUniqueName="[Range].[Reserve Umpire].[All]" dimensionUniqueName="[Range]" displayFolder="" count="0" memberValueDatatype="130" unbalanced="0"/>
    <cacheHierarchy uniqueName="[Range].[Match Referee]" caption="Match Referee" attribute="1" defaultMemberUniqueName="[Range].[Match Referee].[All]" allUniqueName="[Range].[Match Referee].[All]" dimensionUniqueName="[Range]" displayFolder="" count="0" memberValueDatatype="130" unbalanced="0"/>
    <cacheHierarchy uniqueName="[Range].[TV Umpire]" caption="TV Umpire" attribute="1" defaultMemberUniqueName="[Range].[TV Umpire].[All]" allUniqueName="[Range].[TV Umpire].[All]" dimensionUniqueName="[Range]" displayFolder="" count="0" memberValueDatatype="130" unbalanced="0"/>
    <cacheHierarchy uniqueName="[Range].[Toss Winning]" caption="Toss Winning" attribute="1" defaultMemberUniqueName="[Range].[Toss Winning].[All]" allUniqueName="[Range].[Toss Winning].[All]" dimensionUniqueName="[Range]" displayFolder="" count="0" memberValueDatatype="130" unbalanced="0"/>
    <cacheHierarchy uniqueName="[Range].[Toss Loser]" caption="Toss Loser" attribute="1" defaultMemberUniqueName="[Range].[Toss Loser].[All]" allUniqueName="[Range].[Toss Loser].[All]" dimensionUniqueName="[Range]" displayFolder="" count="0" memberValueDatatype="130" unbalanced="0"/>
    <cacheHierarchy uniqueName="[Range].[Toss Decision]" caption="Toss Decision" attribute="1" defaultMemberUniqueName="[Range].[Toss Decision].[All]" allUniqueName="[Range].[Toss Decision].[All]" dimensionUniqueName="[Range]" displayFolder="" count="0" memberValueDatatype="130" unbalanced="0"/>
    <cacheHierarchy uniqueName="[Range].[Match Result]" caption="Match Result" attribute="1" defaultMemberUniqueName="[Range].[Match Result].[All]" allUniqueName="[Range].[Match Result].[All]" dimensionUniqueName="[Range]" displayFolder="" count="0" memberValueDatatype="130" unbalanced="0"/>
    <cacheHierarchy uniqueName="[Range].[First Innings Score]" caption="First Innings Score" attribute="1" defaultMemberUniqueName="[Range].[First Innings Score].[All]" allUniqueName="[Range].[First Innings Score].[All]" dimensionUniqueName="[Range]" displayFolder="" count="0" memberValueDatatype="20" unbalanced="0"/>
    <cacheHierarchy uniqueName="[Range].[Fall of wickets First Innings]" caption="Fall of wickets First Innings" attribute="1" defaultMemberUniqueName="[Range].[Fall of wickets First Innings].[All]" allUniqueName="[Range].[Fall of wickets First Innings].[All]" dimensionUniqueName="[Range]" displayFolder="" count="0" memberValueDatatype="20" unbalanced="0"/>
    <cacheHierarchy uniqueName="[Range].[Second Innings Score]" caption="Second Innings Score" attribute="1" defaultMemberUniqueName="[Range].[Second Innings Score].[All]" allUniqueName="[Range].[Second Innings Score].[All]" dimensionUniqueName="[Range]" displayFolder="" count="0" memberValueDatatype="20" unbalanced="0"/>
    <cacheHierarchy uniqueName="[Range].[Fall of wickets Second Innings]" caption="Fall of wickets Second Innings" attribute="1" defaultMemberUniqueName="[Range].[Fall of wickets Second Innings].[All]" allUniqueName="[Range].[Fall of wickets Second Innings].[All]" dimensionUniqueName="[Range]" displayFolder="" count="0" memberValueDatatype="20" unbalanced="0"/>
    <cacheHierarchy uniqueName="[Range].[Winners]" caption="Winners" attribute="1" defaultMemberUniqueName="[Range].[Winners].[All]" allUniqueName="[Range].[Winners].[All]" dimensionUniqueName="[Range]" displayFolder="" count="0" memberValueDatatype="130" unbalanced="0"/>
    <cacheHierarchy uniqueName="[Range].[Losers]" caption="Losers" attribute="1" defaultMemberUniqueName="[Range].[Losers].[All]" allUniqueName="[Range].[Losers].[All]" dimensionUniqueName="[Range]" displayFolder="" count="0" memberValueDatatype="130" unbalanced="0"/>
    <cacheHierarchy uniqueName="[Range].[Method]" caption="Method" attribute="1" defaultMemberUniqueName="[Range].[Method].[All]" allUniqueName="[Range].[Method].[All]" dimensionUniqueName="[Range]" displayFolder="" count="0" memberValueDatatype="130" unbalanced="0"/>
    <cacheHierarchy uniqueName="[Range].[Won by]" caption="Won by" attribute="1" defaultMemberUniqueName="[Range].[Won by].[All]" allUniqueName="[Range].[Won by].[All]" dimensionUniqueName="[Range]" displayFolder="" count="0" memberValueDatatype="130" unbalanced="0"/>
    <cacheHierarchy uniqueName="[Range].[Winning Margin]" caption="Winning Margin" attribute="1" defaultMemberUniqueName="[Range].[Winning Margin].[All]" allUniqueName="[Range].[Winning Margin].[All]" dimensionUniqueName="[Range]" displayFolder="" count="0" memberValueDatatype="20" unbalanced="0"/>
    <cacheHierarchy uniqueName="[Range].[Top Run Scorer]" caption="Top Run Scorer" attribute="1" defaultMemberUniqueName="[Range].[Top Run Scorer].[All]" allUniqueName="[Range].[Top Run Scorer].[All]" dimensionUniqueName="[Range]" displayFolder="" count="0" memberValueDatatype="130" unbalanced="0"/>
    <cacheHierarchy uniqueName="[Range].[Highest Score]" caption="Highest Score" attribute="1" defaultMemberUniqueName="[Range].[Highest Score].[All]" allUniqueName="[Range].[Highest Score].[All]" dimensionUniqueName="[Range]" displayFolder="" count="0" memberValueDatatype="20" unbalanced="0"/>
    <cacheHierarchy uniqueName="[Range].[Best Bowler]" caption="Best Bowler" attribute="1" defaultMemberUniqueName="[Range].[Best Bowler].[All]" allUniqueName="[Range].[Best Bowler].[All]" dimensionUniqueName="[Range]" displayFolder="" count="0" memberValueDatatype="130" unbalanced="0"/>
    <cacheHierarchy uniqueName="[Range].[Best Bowler Figure(Wickets Taken)]" caption="Best Bowler Figure(Wickets Taken)" attribute="1" defaultMemberUniqueName="[Range].[Best Bowler Figure(Wickets Taken)].[All]" allUniqueName="[Range].[Best Bowler Figure(Wickets Taken)].[All]" dimensionUniqueName="[Range]" displayFolder="" count="0" memberValueDatatype="20" unbalanced="0"/>
    <cacheHierarchy uniqueName="[Range].[Best Bowler Figure(Runs Recieved)]" caption="Best Bowler Figure(Runs Recieved)" attribute="1" defaultMemberUniqueName="[Range].[Best Bowler Figure(Runs Recieved)].[All]" allUniqueName="[Range].[Best Bowler Figure(Runs Recieved)].[All]" dimensionUniqueName="[Range]" displayFolder="" count="0" memberValueDatatype="20" unbalanced="0"/>
    <cacheHierarchy uniqueName="[Range].[Player Of The Match]" caption="Player Of The Match" attribute="1" defaultMemberUniqueName="[Range].[Player Of The Match].[All]" allUniqueName="[Range].[Player Of The Match].[All]" dimensionUniqueName="[Range]" displayFolder="" count="0" memberValueDatatype="130" unbalanced="0"/>
    <cacheHierarchy uniqueName="[Range].[Super Over Match]" caption="Super Over Match" attribute="1" defaultMemberUniqueName="[Range].[Super Over Match].[All]" allUniqueName="[Range].[Super Over Match].[All]" dimensionUniqueName="[Range]"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Winners]" caption="Count of Winners" measure="1" displayFolder="" measureGroup="Range" count="0" hidden="1">
      <extLst>
        <ext xmlns:x15="http://schemas.microsoft.com/office/spreadsheetml/2010/11/main" uri="{B97F6D7D-B522-45F9-BDA1-12C45D357490}">
          <x15:cacheHierarchy aggregatedColumn="20"/>
        </ext>
      </extLst>
    </cacheHierarchy>
    <cacheHierarchy uniqueName="[Measures].[Count of Toss Winning]" caption="Count of Toss Winning" measure="1" displayFolder="" measureGroup="Range" count="0" hidden="1">
      <extLst>
        <ext xmlns:x15="http://schemas.microsoft.com/office/spreadsheetml/2010/11/main" uri="{B97F6D7D-B522-45F9-BDA1-12C45D357490}">
          <x15:cacheHierarchy aggregatedColumn="12"/>
        </ext>
      </extLst>
    </cacheHierarchy>
    <cacheHierarchy uniqueName="[Measures].[Count of Venue Stadium]" caption="Count of Venue Stadium" measure="1" displayFolder="" measureGroup="Range" count="0" hidden="1">
      <extLst>
        <ext xmlns:x15="http://schemas.microsoft.com/office/spreadsheetml/2010/11/main" uri="{B97F6D7D-B522-45F9-BDA1-12C45D357490}">
          <x15:cacheHierarchy aggregatedColumn="2"/>
        </ext>
      </extLst>
    </cacheHierarchy>
    <cacheHierarchy uniqueName="[Measures].[Sum of First Innings Score]" caption="Sum of First Innings Score" measure="1" displayFolder="" measureGroup="Range" count="0" hidden="1">
      <extLst>
        <ext xmlns:x15="http://schemas.microsoft.com/office/spreadsheetml/2010/11/main" uri="{B97F6D7D-B522-45F9-BDA1-12C45D357490}">
          <x15:cacheHierarchy aggregatedColumn="16"/>
        </ext>
      </extLst>
    </cacheHierarchy>
    <cacheHierarchy uniqueName="[Measures].[Sum of Fall of wickets First Innings]" caption="Sum of Fall of wickets First Innings" measure="1" displayFolder="" measureGroup="Range" count="0" hidden="1">
      <extLst>
        <ext xmlns:x15="http://schemas.microsoft.com/office/spreadsheetml/2010/11/main" uri="{B97F6D7D-B522-45F9-BDA1-12C45D357490}">
          <x15:cacheHierarchy aggregatedColumn="17"/>
        </ext>
      </extLst>
    </cacheHierarchy>
    <cacheHierarchy uniqueName="[Measures].[Sum of Second Innings Score]" caption="Sum of Second Innings Score" measure="1" displayFolder="" measureGroup="Range" count="0" hidden="1">
      <extLst>
        <ext xmlns:x15="http://schemas.microsoft.com/office/spreadsheetml/2010/11/main" uri="{B97F6D7D-B522-45F9-BDA1-12C45D357490}">
          <x15:cacheHierarchy aggregatedColumn="18"/>
        </ext>
      </extLst>
    </cacheHierarchy>
    <cacheHierarchy uniqueName="[Measures].[Sum of Fall of wickets Second Innings]" caption="Sum of Fall of wickets Second Innings" measure="1" displayFolder="" measureGroup="Rang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20269540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D101C-10F8-448C-8F1A-DDA29F4602A2}" name="PivotTable3" cacheId="349" applyNumberFormats="0" applyBorderFormats="0" applyFontFormats="0" applyPatternFormats="0" applyAlignmentFormats="0" applyWidthHeightFormats="1" dataCaption="Values" tag="be4b10b6-0087-48a9-bf6f-bfc85db93ded" updatedVersion="8" minRefreshableVersion="3" useAutoFormatting="1" subtotalHiddenItems="1" itemPrintTitles="1" createdVersion="8" indent="0" outline="1" outlineData="1" multipleFieldFilters="0" chartFormat="21">
  <location ref="A4:C23" firstHeaderRow="0" firstDataRow="1" firstDataCol="1"/>
  <pivotFields count="6">
    <pivotField dataField="1" subtotalTop="0" showAll="0" defaultSubtotal="0"/>
    <pivotField allDrilled="1" subtotalTop="0" showAll="0" sortType="ascending" defaultSubtotal="0" defaultAttributeDrillState="1">
      <items count="55">
        <item x="24"/>
        <item x="20"/>
        <item x="25"/>
        <item x="33"/>
        <item x="41"/>
        <item x="21"/>
        <item x="34"/>
        <item x="26"/>
        <item x="42"/>
        <item x="35"/>
        <item x="22"/>
        <item x="47"/>
        <item x="36"/>
        <item x="37"/>
        <item x="10"/>
        <item x="48"/>
        <item x="38"/>
        <item x="5"/>
        <item x="0"/>
        <item x="49"/>
        <item x="6"/>
        <item x="43"/>
        <item x="11"/>
        <item x="1"/>
        <item x="7"/>
        <item x="12"/>
        <item x="50"/>
        <item x="14"/>
        <item x="13"/>
        <item x="2"/>
        <item x="15"/>
        <item x="8"/>
        <item x="27"/>
        <item x="16"/>
        <item x="51"/>
        <item x="17"/>
        <item x="28"/>
        <item x="52"/>
        <item x="18"/>
        <item x="29"/>
        <item x="53"/>
        <item x="3"/>
        <item x="30"/>
        <item x="39"/>
        <item x="54"/>
        <item x="19"/>
        <item x="4"/>
        <item x="9"/>
        <item x="44"/>
        <item x="31"/>
        <item x="45"/>
        <item x="32"/>
        <item x="23"/>
        <item x="40"/>
        <item x="46"/>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2">
    <field x="3"/>
    <field x="4"/>
  </rowFields>
  <rowItems count="19">
    <i>
      <x/>
    </i>
    <i r="1">
      <x/>
    </i>
    <i>
      <x v="1"/>
    </i>
    <i r="1">
      <x v="1"/>
    </i>
    <i>
      <x v="2"/>
    </i>
    <i r="1">
      <x v="2"/>
    </i>
    <i>
      <x v="3"/>
    </i>
    <i r="1">
      <x v="3"/>
    </i>
    <i>
      <x v="4"/>
    </i>
    <i r="1">
      <x v="4"/>
    </i>
    <i>
      <x v="5"/>
    </i>
    <i r="1">
      <x v="5"/>
    </i>
    <i>
      <x v="6"/>
    </i>
    <i r="1">
      <x v="6"/>
    </i>
    <i>
      <x v="7"/>
    </i>
    <i r="1">
      <x v="7"/>
    </i>
    <i>
      <x v="8"/>
    </i>
    <i r="1">
      <x v="8"/>
    </i>
    <i t="grand">
      <x/>
    </i>
  </rowItems>
  <colFields count="1">
    <field x="-2"/>
  </colFields>
  <colItems count="2">
    <i>
      <x/>
    </i>
    <i i="1">
      <x v="1"/>
    </i>
  </colItems>
  <dataFields count="2">
    <dataField name="Sum of First Innings Score" fld="2" baseField="0" baseItem="0"/>
    <dataField name="Sum of Second Innings Score" fld="0" baseField="0" baseItem="0"/>
  </dataFields>
  <chartFormats count="2">
    <chartFormat chart="11" format="2" series="1">
      <pivotArea type="data" outline="0" fieldPosition="0">
        <references count="1">
          <reference field="4294967294" count="1" selected="0">
            <x v="1"/>
          </reference>
        </references>
      </pivotArea>
    </chartFormat>
    <chartFormat chart="11" format="31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CC Mens T20 Worldcup!$A$1:$AF$5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Match" xr10:uid="{C97CF5CC-308D-488F-9290-14DD52A59CA9}" sourceName="[Range].[Date of Match]">
  <pivotTables>
    <pivotTable tabId="3" name="PivotTable3"/>
  </pivotTables>
  <data>
    <olap pivotCacheId="2026954089">
      <levels count="2">
        <level uniqueName="[Range].[Date of Match].[(All)]" sourceCaption="(All)" count="0"/>
        <level uniqueName="[Range].[Date of Match].[Date of Match]" sourceCaption="Date of Match" count="26">
          <ranges>
            <range startItem="0">
              <i n="[Range].[Date of Match].&amp;[10/6/2024]" c="10/6/2024"/>
              <i n="[Range].[Date of Match].&amp;[11/6/2024]" c="11/6/2024"/>
              <i n="[Range].[Date of Match].&amp;[12/6/2024]" c="12/6/2024"/>
              <i n="[Range].[Date of Match].&amp;[13-06-2024]" c="13-06-2024"/>
              <i n="[Range].[Date of Match].&amp;[14-06-2024]" c="14-06-2024"/>
              <i n="[Range].[Date of Match].&amp;[15-06-2024]" c="15-06-2024"/>
              <i n="[Range].[Date of Match].&amp;[16-06-2024]" c="16-06-2024"/>
              <i n="[Range].[Date of Match].&amp;[17-06-2024]" c="17-06-2024"/>
              <i n="[Range].[Date of Match].&amp;[18-06-2024]" c="18-06-2024"/>
              <i n="[Range].[Date of Match].&amp;[19-06-2024]" c="19-06-2024"/>
              <i n="[Range].[Date of Match].&amp;[2/6/2024]" c="2/6/2024"/>
              <i n="[Range].[Date of Match].&amp;[20-06-2024]" c="20-06-2024"/>
              <i n="[Range].[Date of Match].&amp;[21-06-2024]" c="21-06-2024"/>
              <i n="[Range].[Date of Match].&amp;[22-06-2024]" c="22-06-2024"/>
              <i n="[Range].[Date of Match].&amp;[23-06-2024]" c="23-06-2024"/>
              <i n="[Range].[Date of Match].&amp;[24-06-2024]" c="24-06-2024"/>
              <i n="[Range].[Date of Match].&amp;[25-06-2024]" c="25-06-2024"/>
              <i n="[Range].[Date of Match].&amp;[27-06-2024]" c="27-06-2024"/>
              <i n="[Range].[Date of Match].&amp;[29-06-2024]" c="29-06-2024"/>
              <i n="[Range].[Date of Match].&amp;[3/6/2024]" c="3/6/2024"/>
              <i n="[Range].[Date of Match].&amp;[4/6/2024]" c="4/6/2024"/>
              <i n="[Range].[Date of Match].&amp;[5/6/2024]" c="5/6/2024"/>
              <i n="[Range].[Date of Match].&amp;[6/6/2024]" c="6/6/2024"/>
              <i n="[Range].[Date of Match].&amp;[7/6/2024]" c="7/6/2024"/>
              <i n="[Range].[Date of Match].&amp;[8/6/2024]" c="8/6/2024"/>
              <i n="[Range].[Date of Match].&amp;[9/6/2024]" c="9/6/2024"/>
            </range>
          </ranges>
        </level>
      </levels>
      <selections count="1">
        <selection n="[Range].[Date of Matc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of Match" xr10:uid="{D6AF4915-D98A-43FB-8C26-9C553FCFE7C4}" cache="Slicer_Date_of_Match" caption="Date of Matc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6A25D5-0C6F-462F-AF81-56A7D745E516}" name="Table1" displayName="Table1" ref="F15:F16" insertRow="1" totalsRowShown="0">
  <autoFilter ref="F15:F16" xr:uid="{D56A25D5-0C6F-462F-AF81-56A7D745E516}"/>
  <sortState xmlns:xlrd2="http://schemas.microsoft.com/office/spreadsheetml/2017/richdata2" ref="F15">
    <sortCondition ref="F15"/>
  </sortState>
  <tableColumns count="1">
    <tableColumn id="1" xr3:uid="{E9011F1D-DD00-4E54-8988-2968B825B279}"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32E-7548-4AA2-9BBB-05C65621E7FC}">
  <dimension ref="A4:C23"/>
  <sheetViews>
    <sheetView tabSelected="1" topLeftCell="A4" zoomScale="82" zoomScaleNormal="100" workbookViewId="0">
      <selection activeCell="B11" sqref="B11"/>
    </sheetView>
  </sheetViews>
  <sheetFormatPr defaultRowHeight="14.4" x14ac:dyDescent="0.3"/>
  <cols>
    <col min="1" max="1" width="47.44140625" bestFit="1" customWidth="1"/>
    <col min="2" max="2" width="22.88671875" bestFit="1" customWidth="1"/>
    <col min="3" max="3" width="25.77734375" bestFit="1" customWidth="1"/>
    <col min="4" max="4" width="9.77734375" bestFit="1" customWidth="1"/>
    <col min="5" max="11" width="10.33203125" bestFit="1" customWidth="1"/>
    <col min="12" max="12" width="8.77734375" bestFit="1" customWidth="1"/>
    <col min="13" max="20" width="10.33203125" bestFit="1" customWidth="1"/>
    <col min="21" max="27" width="8.77734375" bestFit="1" customWidth="1"/>
    <col min="28" max="28" width="25.77734375" bestFit="1" customWidth="1"/>
    <col min="29" max="30" width="9.77734375" bestFit="1" customWidth="1"/>
    <col min="31" max="37" width="10.33203125" bestFit="1" customWidth="1"/>
    <col min="38" max="38" width="8.77734375" bestFit="1" customWidth="1"/>
    <col min="39" max="46" width="10.33203125" bestFit="1" customWidth="1"/>
    <col min="47" max="53" width="8.77734375" bestFit="1" customWidth="1"/>
    <col min="54" max="54" width="27.6640625" bestFit="1" customWidth="1"/>
    <col min="55" max="55" width="30.5546875" bestFit="1" customWidth="1"/>
    <col min="56" max="56" width="21.6640625" bestFit="1" customWidth="1"/>
    <col min="57" max="57" width="25.77734375" bestFit="1" customWidth="1"/>
    <col min="58" max="58" width="17.21875" bestFit="1" customWidth="1"/>
    <col min="59" max="59" width="11" bestFit="1" customWidth="1"/>
    <col min="60" max="60" width="11.109375" bestFit="1" customWidth="1"/>
    <col min="61" max="61" width="10.6640625" bestFit="1" customWidth="1"/>
    <col min="62" max="62" width="5.21875" bestFit="1" customWidth="1"/>
    <col min="63" max="63" width="8" bestFit="1" customWidth="1"/>
    <col min="64" max="64" width="8.33203125" bestFit="1" customWidth="1"/>
    <col min="65" max="65" width="12.6640625" bestFit="1" customWidth="1"/>
    <col min="66" max="66" width="5.21875" bestFit="1" customWidth="1"/>
    <col min="67" max="67" width="11.33203125" bestFit="1" customWidth="1"/>
    <col min="68" max="68" width="8.5546875" bestFit="1" customWidth="1"/>
    <col min="69" max="69" width="9.77734375" bestFit="1" customWidth="1"/>
    <col min="70" max="70" width="5.21875" bestFit="1" customWidth="1"/>
    <col min="71" max="71" width="6.109375" bestFit="1" customWidth="1"/>
    <col min="72" max="72" width="8.33203125" bestFit="1" customWidth="1"/>
    <col min="73" max="73" width="11.33203125" bestFit="1" customWidth="1"/>
    <col min="74" max="74" width="21.6640625" bestFit="1" customWidth="1"/>
    <col min="75" max="75" width="11" bestFit="1" customWidth="1"/>
    <col min="76" max="76" width="7.33203125" bestFit="1" customWidth="1"/>
    <col min="77" max="77" width="6.88671875" bestFit="1" customWidth="1"/>
    <col min="78" max="78" width="21.6640625" bestFit="1" customWidth="1"/>
    <col min="79" max="79" width="8.88671875" bestFit="1" customWidth="1"/>
    <col min="80" max="80" width="21.6640625" bestFit="1" customWidth="1"/>
    <col min="81" max="81" width="10" bestFit="1" customWidth="1"/>
    <col min="82" max="82" width="6.109375" bestFit="1" customWidth="1"/>
    <col min="83" max="83" width="10.6640625" bestFit="1" customWidth="1"/>
    <col min="84" max="84" width="11.33203125" bestFit="1" customWidth="1"/>
    <col min="85" max="85" width="13.21875" bestFit="1" customWidth="1"/>
    <col min="86" max="86" width="5.88671875" bestFit="1" customWidth="1"/>
    <col min="87" max="87" width="8.5546875" bestFit="1" customWidth="1"/>
    <col min="88" max="88" width="13.88671875" bestFit="1" customWidth="1"/>
    <col min="89" max="89" width="17.21875" bestFit="1" customWidth="1"/>
    <col min="90" max="90" width="7.5546875" bestFit="1" customWidth="1"/>
    <col min="91" max="91" width="11" bestFit="1" customWidth="1"/>
    <col min="92" max="92" width="8.33203125" bestFit="1" customWidth="1"/>
    <col min="93" max="93" width="10.109375" bestFit="1" customWidth="1"/>
    <col min="94" max="94" width="5.21875" bestFit="1" customWidth="1"/>
    <col min="95" max="95" width="6.88671875" bestFit="1" customWidth="1"/>
    <col min="96" max="96" width="10.33203125" bestFit="1" customWidth="1"/>
    <col min="97" max="97" width="6.109375" bestFit="1" customWidth="1"/>
    <col min="98" max="98" width="13.33203125" bestFit="1" customWidth="1"/>
    <col min="99" max="99" width="5.21875" bestFit="1" customWidth="1"/>
    <col min="100" max="100" width="11.33203125" bestFit="1" customWidth="1"/>
    <col min="101" max="101" width="8.5546875" bestFit="1" customWidth="1"/>
    <col min="102" max="102" width="11" bestFit="1" customWidth="1"/>
    <col min="103" max="103" width="10.5546875" bestFit="1" customWidth="1"/>
    <col min="104" max="104" width="11.109375" bestFit="1" customWidth="1"/>
    <col min="105" max="105" width="17.21875" bestFit="1" customWidth="1"/>
    <col min="106" max="106" width="11" bestFit="1" customWidth="1"/>
    <col min="107" max="107" width="23.5546875" bestFit="1" customWidth="1"/>
    <col min="108" max="108" width="8.109375" bestFit="1" customWidth="1"/>
    <col min="109" max="109" width="11.33203125" bestFit="1" customWidth="1"/>
    <col min="110" max="110" width="17.21875" bestFit="1" customWidth="1"/>
    <col min="111" max="111" width="21.6640625" bestFit="1" customWidth="1"/>
    <col min="112" max="112" width="27.6640625" bestFit="1" customWidth="1"/>
    <col min="113" max="113" width="30.5546875" bestFit="1" customWidth="1"/>
  </cols>
  <sheetData>
    <row r="4" spans="1:3" x14ac:dyDescent="0.3">
      <c r="A4" s="4" t="s">
        <v>269</v>
      </c>
      <c r="B4" t="s">
        <v>283</v>
      </c>
      <c r="C4" t="s">
        <v>284</v>
      </c>
    </row>
    <row r="5" spans="1:3" x14ac:dyDescent="0.3">
      <c r="A5" s="5" t="s">
        <v>180</v>
      </c>
      <c r="B5" s="7"/>
      <c r="C5" s="7"/>
    </row>
    <row r="6" spans="1:3" x14ac:dyDescent="0.3">
      <c r="A6" s="6" t="s">
        <v>181</v>
      </c>
      <c r="B6" s="7">
        <v>643</v>
      </c>
      <c r="C6" s="7">
        <v>565</v>
      </c>
    </row>
    <row r="7" spans="1:3" x14ac:dyDescent="0.3">
      <c r="A7" s="5" t="s">
        <v>175</v>
      </c>
      <c r="B7" s="7"/>
      <c r="C7" s="7"/>
    </row>
    <row r="8" spans="1:3" x14ac:dyDescent="0.3">
      <c r="A8" s="6" t="s">
        <v>176</v>
      </c>
      <c r="B8" s="7">
        <v>418</v>
      </c>
      <c r="C8" s="7">
        <v>417</v>
      </c>
    </row>
    <row r="9" spans="1:3" x14ac:dyDescent="0.3">
      <c r="A9" s="5" t="s">
        <v>166</v>
      </c>
      <c r="B9" s="7"/>
      <c r="C9" s="7"/>
    </row>
    <row r="10" spans="1:3" x14ac:dyDescent="0.3">
      <c r="A10" s="6" t="s">
        <v>167</v>
      </c>
      <c r="B10" s="7">
        <v>106</v>
      </c>
      <c r="C10" s="7">
        <v>111</v>
      </c>
    </row>
    <row r="11" spans="1:3" x14ac:dyDescent="0.3">
      <c r="A11" s="5" t="s">
        <v>202</v>
      </c>
      <c r="B11" s="7"/>
      <c r="C11" s="7"/>
    </row>
    <row r="12" spans="1:3" x14ac:dyDescent="0.3">
      <c r="A12" s="6" t="s">
        <v>203</v>
      </c>
      <c r="B12" s="7">
        <v>1147</v>
      </c>
      <c r="C12" s="7">
        <v>936</v>
      </c>
    </row>
    <row r="13" spans="1:3" x14ac:dyDescent="0.3">
      <c r="A13" s="5" t="s">
        <v>33</v>
      </c>
      <c r="B13" s="7"/>
      <c r="C13" s="7"/>
    </row>
    <row r="14" spans="1:3" x14ac:dyDescent="0.3">
      <c r="A14" s="6" t="s">
        <v>34</v>
      </c>
      <c r="B14" s="7">
        <v>583</v>
      </c>
      <c r="C14" s="7">
        <v>591</v>
      </c>
    </row>
    <row r="15" spans="1:3" x14ac:dyDescent="0.3">
      <c r="A15" s="5" t="s">
        <v>65</v>
      </c>
      <c r="B15" s="7"/>
      <c r="C15" s="7"/>
    </row>
    <row r="16" spans="1:3" x14ac:dyDescent="0.3">
      <c r="A16" s="6" t="s">
        <v>66</v>
      </c>
      <c r="B16" s="7">
        <v>1319</v>
      </c>
      <c r="C16" s="7">
        <v>1106</v>
      </c>
    </row>
    <row r="17" spans="1:3" x14ac:dyDescent="0.3">
      <c r="A17" s="5" t="s">
        <v>80</v>
      </c>
      <c r="B17" s="7"/>
      <c r="C17" s="7"/>
    </row>
    <row r="18" spans="1:3" x14ac:dyDescent="0.3">
      <c r="A18" s="6" t="s">
        <v>81</v>
      </c>
      <c r="B18" s="7">
        <v>861</v>
      </c>
      <c r="C18" s="7">
        <v>848</v>
      </c>
    </row>
    <row r="19" spans="1:3" x14ac:dyDescent="0.3">
      <c r="A19" s="5" t="s">
        <v>51</v>
      </c>
      <c r="B19" s="7"/>
      <c r="C19" s="7"/>
    </row>
    <row r="20" spans="1:3" x14ac:dyDescent="0.3">
      <c r="A20" s="6" t="s">
        <v>52</v>
      </c>
      <c r="B20" s="7">
        <v>869</v>
      </c>
      <c r="C20" s="7">
        <v>490</v>
      </c>
    </row>
    <row r="21" spans="1:3" x14ac:dyDescent="0.3">
      <c r="A21" s="5" t="s">
        <v>155</v>
      </c>
      <c r="B21" s="7"/>
      <c r="C21" s="7"/>
    </row>
    <row r="22" spans="1:3" x14ac:dyDescent="0.3">
      <c r="A22" s="6" t="s">
        <v>156</v>
      </c>
      <c r="B22" s="7">
        <v>1056</v>
      </c>
      <c r="C22" s="7">
        <v>907</v>
      </c>
    </row>
    <row r="23" spans="1:3" x14ac:dyDescent="0.3">
      <c r="A23" s="5" t="s">
        <v>270</v>
      </c>
      <c r="B23" s="7">
        <v>7002</v>
      </c>
      <c r="C23" s="7">
        <v>5971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7AF6-308E-4D19-BD73-14C2920A696A}">
  <dimension ref="A1:AF58"/>
  <sheetViews>
    <sheetView workbookViewId="0">
      <selection activeCell="C2" sqref="C2"/>
    </sheetView>
  </sheetViews>
  <sheetFormatPr defaultRowHeight="14.4" x14ac:dyDescent="0.3"/>
  <cols>
    <col min="1" max="1" width="10.44140625" customWidth="1"/>
    <col min="2" max="2" width="13.109375" customWidth="1"/>
    <col min="3" max="3" width="49.21875" customWidth="1"/>
    <col min="4" max="4" width="19.44140625" customWidth="1"/>
    <col min="5" max="5" width="24.44140625" customWidth="1"/>
    <col min="6" max="6" width="25.5546875" customWidth="1"/>
    <col min="7" max="7" width="13.5546875" customWidth="1"/>
    <col min="8" max="8" width="27" customWidth="1"/>
    <col min="9" max="9" width="21.5546875" customWidth="1"/>
    <col min="10" max="10" width="25.44140625" customWidth="1"/>
    <col min="11" max="11" width="21.44140625" customWidth="1"/>
    <col min="12" max="12" width="25.88671875" customWidth="1"/>
    <col min="13" max="13" width="28.109375" customWidth="1"/>
    <col min="14" max="14" width="24.109375" customWidth="1"/>
    <col min="15" max="15" width="14.6640625" customWidth="1"/>
    <col min="16" max="16" width="15.88671875" customWidth="1"/>
    <col min="17" max="17" width="18.77734375" customWidth="1"/>
    <col min="18" max="18" width="24.21875" customWidth="1"/>
    <col min="19" max="19" width="18.88671875" customWidth="1"/>
    <col min="20" max="20" width="26.6640625" customWidth="1"/>
    <col min="21" max="21" width="23.44140625" customWidth="1"/>
    <col min="22" max="22" width="24.109375" customWidth="1"/>
    <col min="23" max="23" width="22" customWidth="1"/>
    <col min="24" max="24" width="15.109375" customWidth="1"/>
    <col min="25" max="25" width="19.44140625" customWidth="1"/>
    <col min="26" max="26" width="24.88671875" customWidth="1"/>
    <col min="27" max="27" width="13.5546875" customWidth="1"/>
    <col min="28" max="28" width="18.21875" customWidth="1"/>
    <col min="29" max="29" width="29.88671875" customWidth="1"/>
    <col min="30" max="30" width="29.5546875" customWidth="1"/>
    <col min="31" max="31" width="22.77734375" customWidth="1"/>
    <col min="32" max="32" width="19.77734375" customWidth="1"/>
  </cols>
  <sheetData>
    <row r="1" spans="1:32"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x14ac:dyDescent="0.3">
      <c r="A2" t="s">
        <v>32</v>
      </c>
      <c r="B2" s="1">
        <v>45328</v>
      </c>
      <c r="C2" t="s">
        <v>33</v>
      </c>
      <c r="D2" t="s">
        <v>34</v>
      </c>
      <c r="E2" t="s">
        <v>35</v>
      </c>
      <c r="F2" t="s">
        <v>36</v>
      </c>
      <c r="G2" t="s">
        <v>37</v>
      </c>
      <c r="H2" t="s">
        <v>38</v>
      </c>
      <c r="I2" t="s">
        <v>39</v>
      </c>
      <c r="J2" t="s">
        <v>40</v>
      </c>
      <c r="K2" t="s">
        <v>41</v>
      </c>
      <c r="L2" t="s">
        <v>42</v>
      </c>
      <c r="M2" t="s">
        <v>36</v>
      </c>
      <c r="N2" t="s">
        <v>35</v>
      </c>
      <c r="O2" t="s">
        <v>43</v>
      </c>
      <c r="P2" t="s">
        <v>44</v>
      </c>
      <c r="Q2">
        <v>194</v>
      </c>
      <c r="R2">
        <v>5</v>
      </c>
      <c r="S2">
        <v>197</v>
      </c>
      <c r="T2">
        <v>3</v>
      </c>
      <c r="U2" t="s">
        <v>36</v>
      </c>
      <c r="V2" t="s">
        <v>35</v>
      </c>
      <c r="W2" t="s">
        <v>45</v>
      </c>
      <c r="X2" t="s">
        <v>46</v>
      </c>
      <c r="Y2">
        <v>7</v>
      </c>
      <c r="Z2" t="s">
        <v>47</v>
      </c>
      <c r="AA2">
        <v>94</v>
      </c>
      <c r="AB2" t="s">
        <v>48</v>
      </c>
      <c r="AC2">
        <v>1</v>
      </c>
      <c r="AD2">
        <v>19</v>
      </c>
      <c r="AE2" t="s">
        <v>47</v>
      </c>
      <c r="AF2" t="s">
        <v>49</v>
      </c>
    </row>
    <row r="3" spans="1:32" x14ac:dyDescent="0.3">
      <c r="A3" t="s">
        <v>50</v>
      </c>
      <c r="B3" s="1">
        <v>45328</v>
      </c>
      <c r="C3" t="s">
        <v>51</v>
      </c>
      <c r="D3" t="s">
        <v>52</v>
      </c>
      <c r="E3" t="s">
        <v>53</v>
      </c>
      <c r="F3" t="s">
        <v>54</v>
      </c>
      <c r="G3" t="s">
        <v>55</v>
      </c>
      <c r="H3" t="s">
        <v>56</v>
      </c>
      <c r="I3" t="s">
        <v>57</v>
      </c>
      <c r="J3" t="s">
        <v>58</v>
      </c>
      <c r="K3" t="s">
        <v>59</v>
      </c>
      <c r="L3" t="s">
        <v>60</v>
      </c>
      <c r="M3" t="s">
        <v>54</v>
      </c>
      <c r="N3" t="s">
        <v>53</v>
      </c>
      <c r="O3" t="s">
        <v>43</v>
      </c>
      <c r="P3" t="s">
        <v>44</v>
      </c>
      <c r="Q3">
        <v>136</v>
      </c>
      <c r="R3">
        <v>8</v>
      </c>
      <c r="S3">
        <v>137</v>
      </c>
      <c r="T3">
        <v>5</v>
      </c>
      <c r="U3" t="s">
        <v>54</v>
      </c>
      <c r="V3" t="s">
        <v>53</v>
      </c>
      <c r="W3" t="s">
        <v>45</v>
      </c>
      <c r="X3" t="s">
        <v>46</v>
      </c>
      <c r="Y3">
        <v>5</v>
      </c>
      <c r="Z3" t="s">
        <v>61</v>
      </c>
      <c r="AA3">
        <v>50</v>
      </c>
      <c r="AB3" t="s">
        <v>62</v>
      </c>
      <c r="AC3">
        <v>2</v>
      </c>
      <c r="AD3">
        <v>19</v>
      </c>
      <c r="AE3" t="s">
        <v>63</v>
      </c>
      <c r="AF3" t="s">
        <v>49</v>
      </c>
    </row>
    <row r="4" spans="1:32" x14ac:dyDescent="0.3">
      <c r="A4" t="s">
        <v>64</v>
      </c>
      <c r="B4" s="1">
        <v>45357</v>
      </c>
      <c r="C4" t="s">
        <v>65</v>
      </c>
      <c r="D4" t="s">
        <v>66</v>
      </c>
      <c r="E4" t="s">
        <v>67</v>
      </c>
      <c r="F4" t="s">
        <v>68</v>
      </c>
      <c r="G4" t="s">
        <v>69</v>
      </c>
      <c r="H4" t="s">
        <v>70</v>
      </c>
      <c r="I4" t="s">
        <v>71</v>
      </c>
      <c r="J4" t="s">
        <v>72</v>
      </c>
      <c r="K4" t="s">
        <v>73</v>
      </c>
      <c r="L4" t="s">
        <v>74</v>
      </c>
      <c r="M4" t="s">
        <v>68</v>
      </c>
      <c r="N4" t="s">
        <v>67</v>
      </c>
      <c r="O4" t="s">
        <v>43</v>
      </c>
      <c r="P4" t="s">
        <v>44</v>
      </c>
      <c r="Q4">
        <v>109</v>
      </c>
      <c r="R4">
        <v>10</v>
      </c>
      <c r="S4">
        <v>109</v>
      </c>
      <c r="T4">
        <v>6</v>
      </c>
      <c r="U4" t="s">
        <v>68</v>
      </c>
      <c r="V4" t="s">
        <v>67</v>
      </c>
      <c r="W4" t="s">
        <v>45</v>
      </c>
      <c r="X4" t="s">
        <v>46</v>
      </c>
      <c r="Y4">
        <v>4</v>
      </c>
      <c r="Z4" t="s">
        <v>75</v>
      </c>
      <c r="AA4">
        <v>45</v>
      </c>
      <c r="AB4" t="s">
        <v>76</v>
      </c>
      <c r="AC4">
        <v>3</v>
      </c>
      <c r="AD4">
        <v>7</v>
      </c>
      <c r="AE4" t="s">
        <v>77</v>
      </c>
      <c r="AF4" t="s">
        <v>78</v>
      </c>
    </row>
    <row r="5" spans="1:32" x14ac:dyDescent="0.3">
      <c r="A5" t="s">
        <v>79</v>
      </c>
      <c r="B5" s="1">
        <v>45357</v>
      </c>
      <c r="C5" t="s">
        <v>80</v>
      </c>
      <c r="D5" t="s">
        <v>81</v>
      </c>
      <c r="E5" t="s">
        <v>82</v>
      </c>
      <c r="F5" t="s">
        <v>83</v>
      </c>
      <c r="G5" t="s">
        <v>84</v>
      </c>
      <c r="H5" t="s">
        <v>85</v>
      </c>
      <c r="I5" t="s">
        <v>86</v>
      </c>
      <c r="J5" t="s">
        <v>87</v>
      </c>
      <c r="K5" t="s">
        <v>88</v>
      </c>
      <c r="L5" t="s">
        <v>89</v>
      </c>
      <c r="M5" t="s">
        <v>82</v>
      </c>
      <c r="N5" t="s">
        <v>83</v>
      </c>
      <c r="O5" t="s">
        <v>90</v>
      </c>
      <c r="P5" t="s">
        <v>44</v>
      </c>
      <c r="Q5">
        <v>77</v>
      </c>
      <c r="R5">
        <v>10</v>
      </c>
      <c r="S5">
        <v>80</v>
      </c>
      <c r="T5">
        <v>4</v>
      </c>
      <c r="U5" t="s">
        <v>83</v>
      </c>
      <c r="V5" t="s">
        <v>82</v>
      </c>
      <c r="W5" t="s">
        <v>45</v>
      </c>
      <c r="X5" t="s">
        <v>46</v>
      </c>
      <c r="Y5">
        <v>6</v>
      </c>
      <c r="Z5" t="s">
        <v>91</v>
      </c>
      <c r="AA5">
        <v>20</v>
      </c>
      <c r="AB5" t="s">
        <v>92</v>
      </c>
      <c r="AC5">
        <v>4</v>
      </c>
      <c r="AD5">
        <v>7</v>
      </c>
      <c r="AE5" t="s">
        <v>92</v>
      </c>
      <c r="AF5" t="s">
        <v>49</v>
      </c>
    </row>
    <row r="6" spans="1:32" x14ac:dyDescent="0.3">
      <c r="A6" t="s">
        <v>93</v>
      </c>
      <c r="B6" s="1">
        <v>45388</v>
      </c>
      <c r="C6" t="s">
        <v>51</v>
      </c>
      <c r="D6" t="s">
        <v>52</v>
      </c>
      <c r="E6" t="s">
        <v>94</v>
      </c>
      <c r="F6" t="s">
        <v>95</v>
      </c>
      <c r="G6" t="s">
        <v>55</v>
      </c>
      <c r="H6" t="s">
        <v>60</v>
      </c>
      <c r="I6" t="s">
        <v>58</v>
      </c>
      <c r="J6" t="s">
        <v>57</v>
      </c>
      <c r="K6" t="s">
        <v>59</v>
      </c>
      <c r="L6" t="s">
        <v>56</v>
      </c>
      <c r="M6" t="s">
        <v>95</v>
      </c>
      <c r="N6" t="s">
        <v>94</v>
      </c>
      <c r="O6" t="s">
        <v>43</v>
      </c>
      <c r="P6" t="s">
        <v>44</v>
      </c>
      <c r="Q6">
        <v>183</v>
      </c>
      <c r="R6">
        <v>5</v>
      </c>
      <c r="S6">
        <v>58</v>
      </c>
      <c r="T6">
        <v>10</v>
      </c>
      <c r="U6" t="s">
        <v>94</v>
      </c>
      <c r="V6" t="s">
        <v>95</v>
      </c>
      <c r="W6" t="s">
        <v>45</v>
      </c>
      <c r="X6" t="s">
        <v>96</v>
      </c>
      <c r="Y6">
        <v>125</v>
      </c>
      <c r="Z6" t="s">
        <v>97</v>
      </c>
      <c r="AA6">
        <v>76</v>
      </c>
      <c r="AB6" t="s">
        <v>98</v>
      </c>
      <c r="AC6">
        <v>5</v>
      </c>
      <c r="AD6">
        <v>9</v>
      </c>
      <c r="AE6" t="s">
        <v>98</v>
      </c>
      <c r="AF6" t="s">
        <v>49</v>
      </c>
    </row>
    <row r="7" spans="1:32" x14ac:dyDescent="0.3">
      <c r="A7" t="s">
        <v>99</v>
      </c>
      <c r="B7" s="1">
        <v>45418</v>
      </c>
      <c r="C7" t="s">
        <v>65</v>
      </c>
      <c r="D7" t="s">
        <v>66</v>
      </c>
      <c r="E7" t="s">
        <v>100</v>
      </c>
      <c r="F7" t="s">
        <v>101</v>
      </c>
      <c r="G7" t="s">
        <v>69</v>
      </c>
      <c r="H7" t="s">
        <v>72</v>
      </c>
      <c r="I7" t="s">
        <v>74</v>
      </c>
      <c r="J7" t="s">
        <v>70</v>
      </c>
      <c r="K7" t="s">
        <v>73</v>
      </c>
      <c r="L7" t="s">
        <v>71</v>
      </c>
      <c r="M7" t="s">
        <v>100</v>
      </c>
      <c r="N7" t="s">
        <v>101</v>
      </c>
      <c r="O7" t="s">
        <v>90</v>
      </c>
      <c r="P7" t="s">
        <v>102</v>
      </c>
      <c r="Q7">
        <v>90</v>
      </c>
      <c r="R7">
        <v>0</v>
      </c>
      <c r="S7">
        <v>0</v>
      </c>
      <c r="T7">
        <v>0</v>
      </c>
      <c r="U7" t="s">
        <v>103</v>
      </c>
      <c r="V7" t="s">
        <v>103</v>
      </c>
      <c r="W7" t="s">
        <v>103</v>
      </c>
      <c r="X7" t="s">
        <v>103</v>
      </c>
      <c r="Y7">
        <v>0</v>
      </c>
      <c r="Z7" t="s">
        <v>103</v>
      </c>
      <c r="AA7">
        <v>0</v>
      </c>
      <c r="AB7" t="s">
        <v>103</v>
      </c>
      <c r="AC7">
        <v>0</v>
      </c>
      <c r="AD7">
        <v>0</v>
      </c>
      <c r="AE7" t="s">
        <v>103</v>
      </c>
      <c r="AF7" t="s">
        <v>103</v>
      </c>
    </row>
    <row r="8" spans="1:32" x14ac:dyDescent="0.3">
      <c r="A8" t="s">
        <v>104</v>
      </c>
      <c r="B8" s="1">
        <v>45418</v>
      </c>
      <c r="C8" t="s">
        <v>33</v>
      </c>
      <c r="D8" t="s">
        <v>34</v>
      </c>
      <c r="E8" t="s">
        <v>105</v>
      </c>
      <c r="F8" t="s">
        <v>106</v>
      </c>
      <c r="G8" t="s">
        <v>84</v>
      </c>
      <c r="H8" t="s">
        <v>40</v>
      </c>
      <c r="I8" t="s">
        <v>107</v>
      </c>
      <c r="J8" t="s">
        <v>38</v>
      </c>
      <c r="K8" t="s">
        <v>41</v>
      </c>
      <c r="L8" t="s">
        <v>39</v>
      </c>
      <c r="M8" t="s">
        <v>106</v>
      </c>
      <c r="N8" t="s">
        <v>105</v>
      </c>
      <c r="O8" t="s">
        <v>43</v>
      </c>
      <c r="P8" t="s">
        <v>44</v>
      </c>
      <c r="Q8">
        <v>106</v>
      </c>
      <c r="R8">
        <v>10</v>
      </c>
      <c r="S8">
        <v>109</v>
      </c>
      <c r="T8">
        <v>4</v>
      </c>
      <c r="U8" t="s">
        <v>106</v>
      </c>
      <c r="V8" t="s">
        <v>105</v>
      </c>
      <c r="W8" t="s">
        <v>45</v>
      </c>
      <c r="X8" t="s">
        <v>46</v>
      </c>
      <c r="Y8">
        <v>6</v>
      </c>
      <c r="Z8" t="s">
        <v>108</v>
      </c>
      <c r="AA8">
        <v>54</v>
      </c>
      <c r="AB8" t="s">
        <v>109</v>
      </c>
      <c r="AC8">
        <v>3</v>
      </c>
      <c r="AD8">
        <v>20</v>
      </c>
      <c r="AE8" t="s">
        <v>109</v>
      </c>
      <c r="AF8" t="s">
        <v>49</v>
      </c>
    </row>
    <row r="9" spans="1:32" x14ac:dyDescent="0.3">
      <c r="A9" t="s">
        <v>110</v>
      </c>
      <c r="B9" s="1">
        <v>45418</v>
      </c>
      <c r="C9" t="s">
        <v>80</v>
      </c>
      <c r="D9" t="s">
        <v>81</v>
      </c>
      <c r="E9" t="s">
        <v>111</v>
      </c>
      <c r="F9" t="s">
        <v>112</v>
      </c>
      <c r="G9" t="s">
        <v>37</v>
      </c>
      <c r="H9" t="s">
        <v>87</v>
      </c>
      <c r="I9" t="s">
        <v>113</v>
      </c>
      <c r="J9" t="s">
        <v>85</v>
      </c>
      <c r="K9" t="s">
        <v>114</v>
      </c>
      <c r="L9" t="s">
        <v>86</v>
      </c>
      <c r="M9" t="s">
        <v>112</v>
      </c>
      <c r="N9" t="s">
        <v>111</v>
      </c>
      <c r="O9" t="s">
        <v>43</v>
      </c>
      <c r="P9" t="s">
        <v>44</v>
      </c>
      <c r="Q9">
        <v>96</v>
      </c>
      <c r="R9">
        <v>10</v>
      </c>
      <c r="S9">
        <v>97</v>
      </c>
      <c r="T9">
        <v>2</v>
      </c>
      <c r="U9" t="s">
        <v>112</v>
      </c>
      <c r="V9" t="s">
        <v>111</v>
      </c>
      <c r="W9" t="s">
        <v>45</v>
      </c>
      <c r="X9" t="s">
        <v>46</v>
      </c>
      <c r="Y9">
        <v>8</v>
      </c>
      <c r="Z9" t="s">
        <v>115</v>
      </c>
      <c r="AA9">
        <v>52</v>
      </c>
      <c r="AB9" t="s">
        <v>116</v>
      </c>
      <c r="AC9">
        <v>2</v>
      </c>
      <c r="AD9">
        <v>6</v>
      </c>
      <c r="AE9" t="s">
        <v>116</v>
      </c>
      <c r="AF9" t="s">
        <v>49</v>
      </c>
    </row>
    <row r="10" spans="1:32" x14ac:dyDescent="0.3">
      <c r="A10" t="s">
        <v>117</v>
      </c>
      <c r="B10" s="1">
        <v>45449</v>
      </c>
      <c r="C10" t="s">
        <v>51</v>
      </c>
      <c r="D10" t="s">
        <v>52</v>
      </c>
      <c r="E10" t="s">
        <v>53</v>
      </c>
      <c r="F10" t="s">
        <v>95</v>
      </c>
      <c r="G10" t="s">
        <v>55</v>
      </c>
      <c r="H10" t="s">
        <v>56</v>
      </c>
      <c r="I10" t="s">
        <v>57</v>
      </c>
      <c r="J10" t="s">
        <v>58</v>
      </c>
      <c r="K10" t="s">
        <v>118</v>
      </c>
      <c r="L10" t="s">
        <v>60</v>
      </c>
      <c r="M10" t="s">
        <v>95</v>
      </c>
      <c r="N10" t="s">
        <v>53</v>
      </c>
      <c r="O10" t="s">
        <v>43</v>
      </c>
      <c r="P10" t="s">
        <v>44</v>
      </c>
      <c r="Q10">
        <v>77</v>
      </c>
      <c r="R10">
        <v>10</v>
      </c>
      <c r="S10">
        <v>78</v>
      </c>
      <c r="T10">
        <v>8</v>
      </c>
      <c r="U10" t="s">
        <v>95</v>
      </c>
      <c r="V10" t="s">
        <v>53</v>
      </c>
      <c r="W10" t="s">
        <v>45</v>
      </c>
      <c r="X10" t="s">
        <v>46</v>
      </c>
      <c r="Y10">
        <v>3</v>
      </c>
      <c r="Z10" t="s">
        <v>119</v>
      </c>
      <c r="AA10">
        <v>33</v>
      </c>
      <c r="AB10" t="s">
        <v>120</v>
      </c>
      <c r="AC10">
        <v>2</v>
      </c>
      <c r="AD10">
        <v>4</v>
      </c>
      <c r="AE10" t="s">
        <v>119</v>
      </c>
      <c r="AF10" t="s">
        <v>49</v>
      </c>
    </row>
    <row r="11" spans="1:32" x14ac:dyDescent="0.3">
      <c r="A11" t="s">
        <v>121</v>
      </c>
      <c r="B11" s="1">
        <v>45449</v>
      </c>
      <c r="C11" t="s">
        <v>65</v>
      </c>
      <c r="D11" t="s">
        <v>66</v>
      </c>
      <c r="E11" t="s">
        <v>122</v>
      </c>
      <c r="F11" t="s">
        <v>67</v>
      </c>
      <c r="G11" t="s">
        <v>69</v>
      </c>
      <c r="H11" t="s">
        <v>72</v>
      </c>
      <c r="I11" t="s">
        <v>71</v>
      </c>
      <c r="J11" t="s">
        <v>74</v>
      </c>
      <c r="K11" t="s">
        <v>73</v>
      </c>
      <c r="L11" t="s">
        <v>70</v>
      </c>
      <c r="M11" t="s">
        <v>67</v>
      </c>
      <c r="N11" t="s">
        <v>122</v>
      </c>
      <c r="O11" t="s">
        <v>43</v>
      </c>
      <c r="P11" t="s">
        <v>44</v>
      </c>
      <c r="Q11">
        <v>164</v>
      </c>
      <c r="R11">
        <v>5</v>
      </c>
      <c r="S11">
        <v>125</v>
      </c>
      <c r="T11">
        <v>9</v>
      </c>
      <c r="U11" t="s">
        <v>122</v>
      </c>
      <c r="V11" t="s">
        <v>67</v>
      </c>
      <c r="W11" t="s">
        <v>45</v>
      </c>
      <c r="X11" t="s">
        <v>96</v>
      </c>
      <c r="Y11">
        <v>39</v>
      </c>
      <c r="Z11" t="s">
        <v>123</v>
      </c>
      <c r="AA11">
        <v>67</v>
      </c>
      <c r="AB11" t="s">
        <v>123</v>
      </c>
      <c r="AC11">
        <v>3</v>
      </c>
      <c r="AD11">
        <v>19</v>
      </c>
      <c r="AE11" t="s">
        <v>123</v>
      </c>
      <c r="AF11" t="s">
        <v>49</v>
      </c>
    </row>
    <row r="12" spans="1:32" x14ac:dyDescent="0.3">
      <c r="A12" t="s">
        <v>124</v>
      </c>
      <c r="B12" s="1">
        <v>45479</v>
      </c>
      <c r="C12" t="s">
        <v>33</v>
      </c>
      <c r="D12" t="s">
        <v>34</v>
      </c>
      <c r="E12" t="s">
        <v>125</v>
      </c>
      <c r="F12" t="s">
        <v>36</v>
      </c>
      <c r="G12" t="s">
        <v>37</v>
      </c>
      <c r="H12" t="s">
        <v>126</v>
      </c>
      <c r="I12" t="s">
        <v>127</v>
      </c>
      <c r="J12" t="s">
        <v>107</v>
      </c>
      <c r="K12" t="s">
        <v>88</v>
      </c>
      <c r="L12" t="s">
        <v>89</v>
      </c>
      <c r="M12" t="s">
        <v>36</v>
      </c>
      <c r="N12" t="s">
        <v>125</v>
      </c>
      <c r="O12" t="s">
        <v>43</v>
      </c>
      <c r="P12" t="s">
        <v>44</v>
      </c>
      <c r="Q12">
        <v>159</v>
      </c>
      <c r="R12">
        <v>7</v>
      </c>
      <c r="S12">
        <v>160</v>
      </c>
      <c r="T12">
        <v>3</v>
      </c>
      <c r="U12" t="s">
        <v>36</v>
      </c>
      <c r="V12" t="s">
        <v>125</v>
      </c>
      <c r="W12" t="s">
        <v>45</v>
      </c>
      <c r="X12" t="s">
        <v>96</v>
      </c>
      <c r="Y12">
        <v>1</v>
      </c>
      <c r="Z12" t="s">
        <v>128</v>
      </c>
      <c r="AA12">
        <v>50</v>
      </c>
      <c r="AB12" t="s">
        <v>129</v>
      </c>
      <c r="AC12">
        <v>3</v>
      </c>
      <c r="AD12">
        <v>30</v>
      </c>
      <c r="AE12" t="s">
        <v>128</v>
      </c>
      <c r="AF12" t="s">
        <v>78</v>
      </c>
    </row>
    <row r="13" spans="1:32" x14ac:dyDescent="0.3">
      <c r="A13" t="s">
        <v>130</v>
      </c>
      <c r="B13" s="1">
        <v>45479</v>
      </c>
      <c r="C13" t="s">
        <v>65</v>
      </c>
      <c r="D13" t="s">
        <v>66</v>
      </c>
      <c r="E13" t="s">
        <v>68</v>
      </c>
      <c r="F13" t="s">
        <v>100</v>
      </c>
      <c r="G13" t="s">
        <v>69</v>
      </c>
      <c r="H13" t="s">
        <v>70</v>
      </c>
      <c r="I13" t="s">
        <v>74</v>
      </c>
      <c r="J13" t="s">
        <v>71</v>
      </c>
      <c r="K13" t="s">
        <v>59</v>
      </c>
      <c r="L13" t="s">
        <v>72</v>
      </c>
      <c r="M13" t="s">
        <v>68</v>
      </c>
      <c r="N13" t="s">
        <v>100</v>
      </c>
      <c r="O13" t="s">
        <v>90</v>
      </c>
      <c r="P13" t="s">
        <v>44</v>
      </c>
      <c r="Q13">
        <v>155</v>
      </c>
      <c r="R13">
        <v>9</v>
      </c>
      <c r="S13">
        <v>157</v>
      </c>
      <c r="T13">
        <v>5</v>
      </c>
      <c r="U13" t="s">
        <v>100</v>
      </c>
      <c r="V13" t="s">
        <v>68</v>
      </c>
      <c r="W13" t="s">
        <v>45</v>
      </c>
      <c r="X13" t="s">
        <v>46</v>
      </c>
      <c r="Y13">
        <v>5</v>
      </c>
      <c r="Z13" t="s">
        <v>131</v>
      </c>
      <c r="AA13">
        <v>35</v>
      </c>
      <c r="AB13" t="s">
        <v>132</v>
      </c>
      <c r="AC13">
        <v>2</v>
      </c>
      <c r="AD13">
        <v>16</v>
      </c>
      <c r="AE13" t="s">
        <v>131</v>
      </c>
      <c r="AF13" t="s">
        <v>49</v>
      </c>
    </row>
    <row r="14" spans="1:32" x14ac:dyDescent="0.3">
      <c r="A14" t="s">
        <v>133</v>
      </c>
      <c r="B14" s="1">
        <v>45479</v>
      </c>
      <c r="C14" t="s">
        <v>80</v>
      </c>
      <c r="D14" t="s">
        <v>81</v>
      </c>
      <c r="E14" t="s">
        <v>35</v>
      </c>
      <c r="F14" t="s">
        <v>111</v>
      </c>
      <c r="G14" t="s">
        <v>37</v>
      </c>
      <c r="H14" t="s">
        <v>86</v>
      </c>
      <c r="I14" t="s">
        <v>42</v>
      </c>
      <c r="J14" t="s">
        <v>113</v>
      </c>
      <c r="K14" t="s">
        <v>41</v>
      </c>
      <c r="L14" t="s">
        <v>85</v>
      </c>
      <c r="M14" t="s">
        <v>111</v>
      </c>
      <c r="N14" t="s">
        <v>35</v>
      </c>
      <c r="O14" t="s">
        <v>43</v>
      </c>
      <c r="P14" t="s">
        <v>44</v>
      </c>
      <c r="Q14">
        <v>137</v>
      </c>
      <c r="R14">
        <v>7</v>
      </c>
      <c r="S14">
        <v>125</v>
      </c>
      <c r="T14">
        <v>7</v>
      </c>
      <c r="U14" t="s">
        <v>35</v>
      </c>
      <c r="V14" t="s">
        <v>111</v>
      </c>
      <c r="W14" t="s">
        <v>45</v>
      </c>
      <c r="X14" t="s">
        <v>96</v>
      </c>
      <c r="Y14">
        <v>12</v>
      </c>
      <c r="Z14" t="s">
        <v>134</v>
      </c>
      <c r="AA14">
        <v>49</v>
      </c>
      <c r="AB14" t="s">
        <v>135</v>
      </c>
      <c r="AC14">
        <v>2</v>
      </c>
      <c r="AD14">
        <v>16</v>
      </c>
      <c r="AE14" t="s">
        <v>134</v>
      </c>
      <c r="AF14" t="s">
        <v>49</v>
      </c>
    </row>
    <row r="15" spans="1:32" x14ac:dyDescent="0.3">
      <c r="A15" t="s">
        <v>136</v>
      </c>
      <c r="B15" s="1">
        <v>45510</v>
      </c>
      <c r="C15" t="s">
        <v>51</v>
      </c>
      <c r="D15" t="s">
        <v>52</v>
      </c>
      <c r="E15" t="s">
        <v>94</v>
      </c>
      <c r="F15" t="s">
        <v>137</v>
      </c>
      <c r="G15" t="s">
        <v>55</v>
      </c>
      <c r="H15" t="s">
        <v>60</v>
      </c>
      <c r="I15" t="s">
        <v>58</v>
      </c>
      <c r="J15" t="s">
        <v>56</v>
      </c>
      <c r="K15" t="s">
        <v>118</v>
      </c>
      <c r="L15" t="s">
        <v>57</v>
      </c>
      <c r="M15" t="s">
        <v>137</v>
      </c>
      <c r="N15" t="s">
        <v>94</v>
      </c>
      <c r="O15" t="s">
        <v>43</v>
      </c>
      <c r="P15" t="s">
        <v>44</v>
      </c>
      <c r="Q15">
        <v>159</v>
      </c>
      <c r="R15">
        <v>6</v>
      </c>
      <c r="S15">
        <v>75</v>
      </c>
      <c r="T15">
        <v>10</v>
      </c>
      <c r="U15" t="s">
        <v>94</v>
      </c>
      <c r="V15" t="s">
        <v>137</v>
      </c>
      <c r="W15" t="s">
        <v>45</v>
      </c>
      <c r="X15" t="s">
        <v>96</v>
      </c>
      <c r="Y15">
        <v>84</v>
      </c>
      <c r="Z15" t="s">
        <v>97</v>
      </c>
      <c r="AA15">
        <v>80</v>
      </c>
      <c r="AB15" t="s">
        <v>138</v>
      </c>
      <c r="AC15">
        <v>4</v>
      </c>
      <c r="AD15">
        <v>17</v>
      </c>
      <c r="AE15" t="s">
        <v>97</v>
      </c>
      <c r="AF15" t="s">
        <v>49</v>
      </c>
    </row>
    <row r="16" spans="1:32" x14ac:dyDescent="0.3">
      <c r="A16" t="s">
        <v>139</v>
      </c>
      <c r="B16" s="1">
        <v>45510</v>
      </c>
      <c r="C16" t="s">
        <v>33</v>
      </c>
      <c r="D16" t="s">
        <v>34</v>
      </c>
      <c r="E16" t="s">
        <v>82</v>
      </c>
      <c r="F16" t="s">
        <v>140</v>
      </c>
      <c r="G16" t="s">
        <v>84</v>
      </c>
      <c r="H16" t="s">
        <v>127</v>
      </c>
      <c r="I16" t="s">
        <v>89</v>
      </c>
      <c r="J16" t="s">
        <v>107</v>
      </c>
      <c r="K16" t="s">
        <v>88</v>
      </c>
      <c r="L16" t="s">
        <v>126</v>
      </c>
      <c r="M16" t="s">
        <v>140</v>
      </c>
      <c r="N16" t="s">
        <v>82</v>
      </c>
      <c r="O16" t="s">
        <v>43</v>
      </c>
      <c r="P16" t="s">
        <v>44</v>
      </c>
      <c r="Q16">
        <v>124</v>
      </c>
      <c r="R16">
        <v>9</v>
      </c>
      <c r="S16">
        <v>125</v>
      </c>
      <c r="T16">
        <v>8</v>
      </c>
      <c r="U16" t="s">
        <v>140</v>
      </c>
      <c r="V16" t="s">
        <v>82</v>
      </c>
      <c r="W16" t="s">
        <v>45</v>
      </c>
      <c r="X16" t="s">
        <v>46</v>
      </c>
      <c r="Y16">
        <v>2</v>
      </c>
      <c r="Z16" t="s">
        <v>141</v>
      </c>
      <c r="AA16">
        <v>47</v>
      </c>
      <c r="AB16" t="s">
        <v>142</v>
      </c>
      <c r="AC16">
        <v>3</v>
      </c>
      <c r="AD16">
        <v>22</v>
      </c>
      <c r="AE16" t="s">
        <v>142</v>
      </c>
      <c r="AF16" t="s">
        <v>49</v>
      </c>
    </row>
    <row r="17" spans="1:32" x14ac:dyDescent="0.3">
      <c r="A17" t="s">
        <v>143</v>
      </c>
      <c r="B17" s="1">
        <v>45510</v>
      </c>
      <c r="C17" t="s">
        <v>80</v>
      </c>
      <c r="D17" t="s">
        <v>81</v>
      </c>
      <c r="E17" t="s">
        <v>106</v>
      </c>
      <c r="F17" t="s">
        <v>83</v>
      </c>
      <c r="G17" t="s">
        <v>84</v>
      </c>
      <c r="H17" t="s">
        <v>113</v>
      </c>
      <c r="I17" t="s">
        <v>39</v>
      </c>
      <c r="J17" t="s">
        <v>42</v>
      </c>
      <c r="K17" t="s">
        <v>114</v>
      </c>
      <c r="L17" t="s">
        <v>86</v>
      </c>
      <c r="M17" t="s">
        <v>83</v>
      </c>
      <c r="N17" t="s">
        <v>106</v>
      </c>
      <c r="O17" t="s">
        <v>43</v>
      </c>
      <c r="P17" t="s">
        <v>44</v>
      </c>
      <c r="Q17">
        <v>103</v>
      </c>
      <c r="R17">
        <v>9</v>
      </c>
      <c r="S17">
        <v>106</v>
      </c>
      <c r="T17">
        <v>6</v>
      </c>
      <c r="U17" t="s">
        <v>83</v>
      </c>
      <c r="V17" t="s">
        <v>106</v>
      </c>
      <c r="W17" t="s">
        <v>45</v>
      </c>
      <c r="X17" t="s">
        <v>46</v>
      </c>
      <c r="Y17">
        <v>4</v>
      </c>
      <c r="Z17" t="s">
        <v>144</v>
      </c>
      <c r="AA17">
        <v>59</v>
      </c>
      <c r="AB17" t="s">
        <v>145</v>
      </c>
      <c r="AC17">
        <v>4</v>
      </c>
      <c r="AD17">
        <v>11</v>
      </c>
      <c r="AE17" t="s">
        <v>144</v>
      </c>
      <c r="AF17" t="s">
        <v>49</v>
      </c>
    </row>
    <row r="18" spans="1:32" x14ac:dyDescent="0.3">
      <c r="A18" t="s">
        <v>146</v>
      </c>
      <c r="B18" s="1">
        <v>45541</v>
      </c>
      <c r="C18" t="s">
        <v>65</v>
      </c>
      <c r="D18" t="s">
        <v>66</v>
      </c>
      <c r="E18" t="s">
        <v>122</v>
      </c>
      <c r="F18" t="s">
        <v>101</v>
      </c>
      <c r="G18" t="s">
        <v>69</v>
      </c>
      <c r="H18" t="s">
        <v>71</v>
      </c>
      <c r="I18" t="s">
        <v>74</v>
      </c>
      <c r="J18" t="s">
        <v>70</v>
      </c>
      <c r="K18" t="s">
        <v>59</v>
      </c>
      <c r="L18" t="s">
        <v>72</v>
      </c>
      <c r="M18" t="s">
        <v>101</v>
      </c>
      <c r="N18" t="s">
        <v>122</v>
      </c>
      <c r="O18" t="s">
        <v>43</v>
      </c>
      <c r="P18" t="s">
        <v>44</v>
      </c>
      <c r="Q18">
        <v>201</v>
      </c>
      <c r="R18">
        <v>7</v>
      </c>
      <c r="S18">
        <v>165</v>
      </c>
      <c r="T18">
        <v>6</v>
      </c>
      <c r="U18" t="s">
        <v>122</v>
      </c>
      <c r="V18" t="s">
        <v>101</v>
      </c>
      <c r="W18" t="s">
        <v>45</v>
      </c>
      <c r="X18" t="s">
        <v>96</v>
      </c>
      <c r="Y18">
        <v>36</v>
      </c>
      <c r="Z18" t="s">
        <v>147</v>
      </c>
      <c r="AA18">
        <v>42</v>
      </c>
      <c r="AB18" t="s">
        <v>148</v>
      </c>
      <c r="AC18">
        <v>2</v>
      </c>
      <c r="AD18">
        <v>28</v>
      </c>
      <c r="AE18" t="s">
        <v>148</v>
      </c>
      <c r="AF18" t="s">
        <v>49</v>
      </c>
    </row>
    <row r="19" spans="1:32" x14ac:dyDescent="0.3">
      <c r="A19" t="s">
        <v>149</v>
      </c>
      <c r="B19" s="1">
        <v>45541</v>
      </c>
      <c r="C19" t="s">
        <v>51</v>
      </c>
      <c r="D19" t="s">
        <v>52</v>
      </c>
      <c r="E19" t="s">
        <v>54</v>
      </c>
      <c r="F19" t="s">
        <v>95</v>
      </c>
      <c r="G19" t="s">
        <v>55</v>
      </c>
      <c r="H19" t="s">
        <v>58</v>
      </c>
      <c r="I19" t="s">
        <v>57</v>
      </c>
      <c r="J19" t="s">
        <v>60</v>
      </c>
      <c r="K19" t="s">
        <v>118</v>
      </c>
      <c r="L19" t="s">
        <v>56</v>
      </c>
      <c r="M19" t="s">
        <v>54</v>
      </c>
      <c r="N19" t="s">
        <v>95</v>
      </c>
      <c r="O19" t="s">
        <v>90</v>
      </c>
      <c r="P19" t="s">
        <v>44</v>
      </c>
      <c r="Q19">
        <v>173</v>
      </c>
      <c r="R19">
        <v>5</v>
      </c>
      <c r="S19">
        <v>39</v>
      </c>
      <c r="T19">
        <v>10</v>
      </c>
      <c r="U19" t="s">
        <v>54</v>
      </c>
      <c r="V19" t="s">
        <v>95</v>
      </c>
      <c r="W19" t="s">
        <v>45</v>
      </c>
      <c r="X19" t="s">
        <v>96</v>
      </c>
      <c r="Y19">
        <v>134</v>
      </c>
      <c r="Z19" t="s">
        <v>150</v>
      </c>
      <c r="AA19">
        <v>44</v>
      </c>
      <c r="AB19" t="s">
        <v>151</v>
      </c>
      <c r="AC19">
        <v>5</v>
      </c>
      <c r="AD19">
        <v>11</v>
      </c>
      <c r="AE19" t="s">
        <v>151</v>
      </c>
      <c r="AF19" t="s">
        <v>49</v>
      </c>
    </row>
    <row r="20" spans="1:32" x14ac:dyDescent="0.3">
      <c r="A20" t="s">
        <v>152</v>
      </c>
      <c r="B20" s="1">
        <v>45571</v>
      </c>
      <c r="C20" t="s">
        <v>80</v>
      </c>
      <c r="D20" t="s">
        <v>81</v>
      </c>
      <c r="E20" t="s">
        <v>112</v>
      </c>
      <c r="F20" t="s">
        <v>125</v>
      </c>
      <c r="G20" t="s">
        <v>37</v>
      </c>
      <c r="H20" t="s">
        <v>38</v>
      </c>
      <c r="I20" t="s">
        <v>107</v>
      </c>
      <c r="J20" t="s">
        <v>39</v>
      </c>
      <c r="K20" t="s">
        <v>114</v>
      </c>
      <c r="L20" t="s">
        <v>113</v>
      </c>
      <c r="M20" t="s">
        <v>125</v>
      </c>
      <c r="N20" t="s">
        <v>112</v>
      </c>
      <c r="O20" t="s">
        <v>43</v>
      </c>
      <c r="P20" t="s">
        <v>44</v>
      </c>
      <c r="Q20">
        <v>119</v>
      </c>
      <c r="R20">
        <v>10</v>
      </c>
      <c r="S20">
        <v>113</v>
      </c>
      <c r="T20">
        <v>7</v>
      </c>
      <c r="U20" t="s">
        <v>112</v>
      </c>
      <c r="V20" t="s">
        <v>125</v>
      </c>
      <c r="W20" t="s">
        <v>45</v>
      </c>
      <c r="X20" t="s">
        <v>96</v>
      </c>
      <c r="Y20">
        <v>6</v>
      </c>
      <c r="Z20" t="s">
        <v>153</v>
      </c>
      <c r="AA20">
        <v>42</v>
      </c>
      <c r="AB20" t="s">
        <v>116</v>
      </c>
      <c r="AC20">
        <v>3</v>
      </c>
      <c r="AD20">
        <v>14</v>
      </c>
      <c r="AE20" t="s">
        <v>116</v>
      </c>
      <c r="AF20" t="s">
        <v>49</v>
      </c>
    </row>
    <row r="21" spans="1:32" x14ac:dyDescent="0.3">
      <c r="A21" t="s">
        <v>154</v>
      </c>
      <c r="B21" s="1">
        <v>45571</v>
      </c>
      <c r="C21" t="s">
        <v>155</v>
      </c>
      <c r="D21" t="s">
        <v>156</v>
      </c>
      <c r="E21" t="s">
        <v>67</v>
      </c>
      <c r="F21" t="s">
        <v>100</v>
      </c>
      <c r="G21" t="s">
        <v>69</v>
      </c>
      <c r="H21" t="s">
        <v>126</v>
      </c>
      <c r="I21" t="s">
        <v>85</v>
      </c>
      <c r="J21" t="s">
        <v>87</v>
      </c>
      <c r="K21" t="s">
        <v>41</v>
      </c>
      <c r="L21" t="s">
        <v>40</v>
      </c>
      <c r="M21" t="s">
        <v>67</v>
      </c>
      <c r="N21" t="s">
        <v>100</v>
      </c>
      <c r="O21" t="s">
        <v>90</v>
      </c>
      <c r="P21" t="s">
        <v>44</v>
      </c>
      <c r="Q21">
        <v>150</v>
      </c>
      <c r="R21">
        <v>7</v>
      </c>
      <c r="S21">
        <v>153</v>
      </c>
      <c r="T21">
        <v>3</v>
      </c>
      <c r="U21" t="s">
        <v>100</v>
      </c>
      <c r="V21" t="s">
        <v>67</v>
      </c>
      <c r="W21" t="s">
        <v>45</v>
      </c>
      <c r="X21" t="s">
        <v>46</v>
      </c>
      <c r="Y21">
        <v>7</v>
      </c>
      <c r="Z21" t="s">
        <v>157</v>
      </c>
      <c r="AA21">
        <v>31</v>
      </c>
      <c r="AB21" t="s">
        <v>158</v>
      </c>
      <c r="AC21">
        <v>1</v>
      </c>
      <c r="AD21">
        <v>2</v>
      </c>
      <c r="AE21" t="s">
        <v>157</v>
      </c>
      <c r="AF21" t="s">
        <v>49</v>
      </c>
    </row>
    <row r="22" spans="1:32" x14ac:dyDescent="0.3">
      <c r="A22" t="s">
        <v>159</v>
      </c>
      <c r="B22" s="1">
        <v>45571</v>
      </c>
      <c r="C22" t="s">
        <v>80</v>
      </c>
      <c r="D22" t="s">
        <v>81</v>
      </c>
      <c r="E22" t="s">
        <v>83</v>
      </c>
      <c r="F22" t="s">
        <v>140</v>
      </c>
      <c r="G22" t="s">
        <v>84</v>
      </c>
      <c r="H22" t="s">
        <v>38</v>
      </c>
      <c r="I22" t="s">
        <v>42</v>
      </c>
      <c r="J22" t="s">
        <v>89</v>
      </c>
      <c r="K22" t="s">
        <v>73</v>
      </c>
      <c r="L22" t="s">
        <v>127</v>
      </c>
      <c r="M22" t="s">
        <v>83</v>
      </c>
      <c r="N22" t="s">
        <v>140</v>
      </c>
      <c r="O22" t="s">
        <v>90</v>
      </c>
      <c r="P22" t="s">
        <v>44</v>
      </c>
      <c r="Q22">
        <v>113</v>
      </c>
      <c r="R22">
        <v>6</v>
      </c>
      <c r="S22">
        <v>109</v>
      </c>
      <c r="T22">
        <v>7</v>
      </c>
      <c r="U22" t="s">
        <v>83</v>
      </c>
      <c r="V22" t="s">
        <v>140</v>
      </c>
      <c r="W22" t="s">
        <v>45</v>
      </c>
      <c r="X22" t="s">
        <v>96</v>
      </c>
      <c r="Y22">
        <v>4</v>
      </c>
      <c r="Z22" t="s">
        <v>160</v>
      </c>
      <c r="AA22">
        <v>46</v>
      </c>
      <c r="AB22" t="s">
        <v>161</v>
      </c>
      <c r="AC22">
        <v>3</v>
      </c>
      <c r="AD22">
        <v>18</v>
      </c>
      <c r="AE22" t="s">
        <v>160</v>
      </c>
      <c r="AF22" t="s">
        <v>49</v>
      </c>
    </row>
    <row r="23" spans="1:32" x14ac:dyDescent="0.3">
      <c r="A23" t="s">
        <v>162</v>
      </c>
      <c r="B23" s="1">
        <v>45602</v>
      </c>
      <c r="C23" t="s">
        <v>80</v>
      </c>
      <c r="D23" t="s">
        <v>81</v>
      </c>
      <c r="E23" t="s">
        <v>35</v>
      </c>
      <c r="F23" t="s">
        <v>125</v>
      </c>
      <c r="G23" t="s">
        <v>37</v>
      </c>
      <c r="H23" t="s">
        <v>56</v>
      </c>
      <c r="I23" t="s">
        <v>58</v>
      </c>
      <c r="J23" t="s">
        <v>89</v>
      </c>
      <c r="K23" t="s">
        <v>73</v>
      </c>
      <c r="L23" t="s">
        <v>42</v>
      </c>
      <c r="M23" t="s">
        <v>125</v>
      </c>
      <c r="N23" t="s">
        <v>35</v>
      </c>
      <c r="O23" t="s">
        <v>43</v>
      </c>
      <c r="P23" t="s">
        <v>44</v>
      </c>
      <c r="Q23">
        <v>106</v>
      </c>
      <c r="R23">
        <v>7</v>
      </c>
      <c r="S23">
        <v>107</v>
      </c>
      <c r="T23">
        <v>3</v>
      </c>
      <c r="U23" t="s">
        <v>125</v>
      </c>
      <c r="V23" t="s">
        <v>35</v>
      </c>
      <c r="W23" t="s">
        <v>45</v>
      </c>
      <c r="X23" t="s">
        <v>46</v>
      </c>
      <c r="Y23">
        <v>7</v>
      </c>
      <c r="Z23" t="s">
        <v>163</v>
      </c>
      <c r="AA23">
        <v>52</v>
      </c>
      <c r="AB23" t="s">
        <v>164</v>
      </c>
      <c r="AC23">
        <v>2</v>
      </c>
      <c r="AD23">
        <v>13</v>
      </c>
      <c r="AE23" t="s">
        <v>164</v>
      </c>
      <c r="AF23" t="s">
        <v>49</v>
      </c>
    </row>
    <row r="24" spans="1:32" x14ac:dyDescent="0.3">
      <c r="A24" t="s">
        <v>165</v>
      </c>
      <c r="B24" s="1">
        <v>45632</v>
      </c>
      <c r="C24" t="s">
        <v>166</v>
      </c>
      <c r="D24" t="s">
        <v>167</v>
      </c>
      <c r="E24" t="s">
        <v>105</v>
      </c>
      <c r="F24" t="s">
        <v>82</v>
      </c>
      <c r="G24" t="s">
        <v>84</v>
      </c>
      <c r="H24" t="s">
        <v>113</v>
      </c>
      <c r="I24" t="s">
        <v>86</v>
      </c>
      <c r="J24" t="s">
        <v>39</v>
      </c>
      <c r="K24" t="s">
        <v>88</v>
      </c>
      <c r="L24" t="s">
        <v>107</v>
      </c>
      <c r="M24" t="s">
        <v>103</v>
      </c>
      <c r="N24" t="s">
        <v>103</v>
      </c>
      <c r="O24" t="s">
        <v>103</v>
      </c>
      <c r="P24" t="s">
        <v>102</v>
      </c>
      <c r="Q24">
        <v>0</v>
      </c>
      <c r="R24">
        <v>0</v>
      </c>
      <c r="S24">
        <v>0</v>
      </c>
      <c r="T24">
        <v>0</v>
      </c>
      <c r="U24" t="s">
        <v>103</v>
      </c>
      <c r="V24" t="s">
        <v>103</v>
      </c>
      <c r="W24" t="s">
        <v>103</v>
      </c>
      <c r="X24" t="s">
        <v>103</v>
      </c>
      <c r="Y24">
        <v>0</v>
      </c>
      <c r="Z24" t="s">
        <v>103</v>
      </c>
      <c r="AA24">
        <v>0</v>
      </c>
      <c r="AB24" t="s">
        <v>103</v>
      </c>
      <c r="AC24">
        <v>0</v>
      </c>
      <c r="AD24">
        <v>0</v>
      </c>
      <c r="AE24" t="s">
        <v>103</v>
      </c>
      <c r="AF24" t="s">
        <v>103</v>
      </c>
    </row>
    <row r="25" spans="1:32" x14ac:dyDescent="0.3">
      <c r="A25" t="s">
        <v>168</v>
      </c>
      <c r="B25" s="1">
        <v>45632</v>
      </c>
      <c r="C25" t="s">
        <v>155</v>
      </c>
      <c r="D25" t="s">
        <v>156</v>
      </c>
      <c r="E25" t="s">
        <v>68</v>
      </c>
      <c r="F25" t="s">
        <v>122</v>
      </c>
      <c r="G25" t="s">
        <v>69</v>
      </c>
      <c r="H25" t="s">
        <v>74</v>
      </c>
      <c r="I25" t="s">
        <v>57</v>
      </c>
      <c r="J25" t="s">
        <v>126</v>
      </c>
      <c r="K25" t="s">
        <v>118</v>
      </c>
      <c r="L25" t="s">
        <v>40</v>
      </c>
      <c r="M25" t="s">
        <v>122</v>
      </c>
      <c r="N25" t="s">
        <v>68</v>
      </c>
      <c r="O25" t="s">
        <v>43</v>
      </c>
      <c r="P25" t="s">
        <v>44</v>
      </c>
      <c r="Q25">
        <v>72</v>
      </c>
      <c r="R25">
        <v>10</v>
      </c>
      <c r="S25">
        <v>74</v>
      </c>
      <c r="T25">
        <v>1</v>
      </c>
      <c r="U25" t="s">
        <v>122</v>
      </c>
      <c r="V25" t="s">
        <v>68</v>
      </c>
      <c r="W25" t="s">
        <v>45</v>
      </c>
      <c r="X25" t="s">
        <v>46</v>
      </c>
      <c r="Y25">
        <v>9</v>
      </c>
      <c r="Z25" t="s">
        <v>169</v>
      </c>
      <c r="AA25">
        <v>36</v>
      </c>
      <c r="AB25" t="s">
        <v>148</v>
      </c>
      <c r="AC25">
        <v>4</v>
      </c>
      <c r="AD25">
        <v>12</v>
      </c>
      <c r="AE25" t="s">
        <v>148</v>
      </c>
      <c r="AF25" t="s">
        <v>49</v>
      </c>
    </row>
    <row r="26" spans="1:32" x14ac:dyDescent="0.3">
      <c r="A26" t="s">
        <v>170</v>
      </c>
      <c r="B26" s="1">
        <v>45632</v>
      </c>
      <c r="C26" t="s">
        <v>80</v>
      </c>
      <c r="D26" t="s">
        <v>81</v>
      </c>
      <c r="E26" t="s">
        <v>36</v>
      </c>
      <c r="F26" t="s">
        <v>112</v>
      </c>
      <c r="G26" t="s">
        <v>37</v>
      </c>
      <c r="H26" t="s">
        <v>89</v>
      </c>
      <c r="I26" t="s">
        <v>42</v>
      </c>
      <c r="J26" t="s">
        <v>56</v>
      </c>
      <c r="K26" t="s">
        <v>73</v>
      </c>
      <c r="L26" t="s">
        <v>58</v>
      </c>
      <c r="M26" t="s">
        <v>112</v>
      </c>
      <c r="N26" t="s">
        <v>36</v>
      </c>
      <c r="O26" t="s">
        <v>43</v>
      </c>
      <c r="P26" t="s">
        <v>44</v>
      </c>
      <c r="Q26">
        <v>110</v>
      </c>
      <c r="R26">
        <v>8</v>
      </c>
      <c r="S26">
        <v>111</v>
      </c>
      <c r="T26">
        <v>3</v>
      </c>
      <c r="U26" t="s">
        <v>112</v>
      </c>
      <c r="V26" t="s">
        <v>36</v>
      </c>
      <c r="W26" t="s">
        <v>45</v>
      </c>
      <c r="X26" t="s">
        <v>46</v>
      </c>
      <c r="Y26">
        <v>7</v>
      </c>
      <c r="Z26" t="s">
        <v>171</v>
      </c>
      <c r="AA26">
        <v>50</v>
      </c>
      <c r="AB26" t="s">
        <v>172</v>
      </c>
      <c r="AC26">
        <v>4</v>
      </c>
      <c r="AD26">
        <v>9</v>
      </c>
      <c r="AE26" t="s">
        <v>172</v>
      </c>
      <c r="AF26" t="s">
        <v>49</v>
      </c>
    </row>
    <row r="27" spans="1:32" x14ac:dyDescent="0.3">
      <c r="A27" t="s">
        <v>173</v>
      </c>
      <c r="B27" t="s">
        <v>174</v>
      </c>
      <c r="C27" t="s">
        <v>175</v>
      </c>
      <c r="D27" t="s">
        <v>176</v>
      </c>
      <c r="E27" t="s">
        <v>54</v>
      </c>
      <c r="F27" t="s">
        <v>137</v>
      </c>
      <c r="G27" t="s">
        <v>55</v>
      </c>
      <c r="H27" t="s">
        <v>60</v>
      </c>
      <c r="I27" t="s">
        <v>87</v>
      </c>
      <c r="J27" t="s">
        <v>127</v>
      </c>
      <c r="K27" t="s">
        <v>114</v>
      </c>
      <c r="L27" t="s">
        <v>38</v>
      </c>
      <c r="M27" t="s">
        <v>137</v>
      </c>
      <c r="N27" t="s">
        <v>54</v>
      </c>
      <c r="O27" t="s">
        <v>43</v>
      </c>
      <c r="P27" t="s">
        <v>44</v>
      </c>
      <c r="Q27">
        <v>149</v>
      </c>
      <c r="R27">
        <v>9</v>
      </c>
      <c r="S27">
        <v>136</v>
      </c>
      <c r="T27">
        <v>9</v>
      </c>
      <c r="U27" t="s">
        <v>54</v>
      </c>
      <c r="V27" t="s">
        <v>137</v>
      </c>
      <c r="W27" t="s">
        <v>45</v>
      </c>
      <c r="X27" t="s">
        <v>96</v>
      </c>
      <c r="Y27">
        <v>13</v>
      </c>
      <c r="Z27" t="s">
        <v>177</v>
      </c>
      <c r="AA27">
        <v>68</v>
      </c>
      <c r="AB27" t="s">
        <v>178</v>
      </c>
      <c r="AC27">
        <v>3</v>
      </c>
      <c r="AD27">
        <v>16</v>
      </c>
      <c r="AE27" t="s">
        <v>177</v>
      </c>
      <c r="AF27" t="s">
        <v>49</v>
      </c>
    </row>
    <row r="28" spans="1:32" x14ac:dyDescent="0.3">
      <c r="A28" t="s">
        <v>179</v>
      </c>
      <c r="B28" t="s">
        <v>174</v>
      </c>
      <c r="C28" t="s">
        <v>180</v>
      </c>
      <c r="D28" t="s">
        <v>181</v>
      </c>
      <c r="E28" t="s">
        <v>140</v>
      </c>
      <c r="F28" t="s">
        <v>106</v>
      </c>
      <c r="G28" t="s">
        <v>84</v>
      </c>
      <c r="H28" t="s">
        <v>85</v>
      </c>
      <c r="I28" t="s">
        <v>70</v>
      </c>
      <c r="J28" t="s">
        <v>71</v>
      </c>
      <c r="K28" t="s">
        <v>41</v>
      </c>
      <c r="L28" t="s">
        <v>126</v>
      </c>
      <c r="M28" t="s">
        <v>106</v>
      </c>
      <c r="N28" t="s">
        <v>140</v>
      </c>
      <c r="O28" t="s">
        <v>43</v>
      </c>
      <c r="P28" t="s">
        <v>44</v>
      </c>
      <c r="Q28">
        <v>159</v>
      </c>
      <c r="R28">
        <v>5</v>
      </c>
      <c r="S28">
        <v>134</v>
      </c>
      <c r="T28">
        <v>8</v>
      </c>
      <c r="U28" t="s">
        <v>140</v>
      </c>
      <c r="V28" t="s">
        <v>106</v>
      </c>
      <c r="W28" t="s">
        <v>45</v>
      </c>
      <c r="X28" t="s">
        <v>96</v>
      </c>
      <c r="Y28">
        <v>25</v>
      </c>
      <c r="Z28" t="s">
        <v>182</v>
      </c>
      <c r="AA28">
        <v>64</v>
      </c>
      <c r="AB28" t="s">
        <v>183</v>
      </c>
      <c r="AC28">
        <v>2</v>
      </c>
      <c r="AD28">
        <v>15</v>
      </c>
      <c r="AE28" t="s">
        <v>182</v>
      </c>
      <c r="AF28" t="s">
        <v>49</v>
      </c>
    </row>
    <row r="29" spans="1:32" x14ac:dyDescent="0.3">
      <c r="A29" t="s">
        <v>184</v>
      </c>
      <c r="B29" t="s">
        <v>185</v>
      </c>
      <c r="C29" t="s">
        <v>155</v>
      </c>
      <c r="D29" t="s">
        <v>156</v>
      </c>
      <c r="E29" t="s">
        <v>67</v>
      </c>
      <c r="F29" t="s">
        <v>101</v>
      </c>
      <c r="G29" t="s">
        <v>69</v>
      </c>
      <c r="H29" t="s">
        <v>72</v>
      </c>
      <c r="I29" t="s">
        <v>40</v>
      </c>
      <c r="J29" t="s">
        <v>57</v>
      </c>
      <c r="K29" t="s">
        <v>59</v>
      </c>
      <c r="L29" t="s">
        <v>74</v>
      </c>
      <c r="M29" t="s">
        <v>101</v>
      </c>
      <c r="N29" t="s">
        <v>67</v>
      </c>
      <c r="O29" t="s">
        <v>43</v>
      </c>
      <c r="P29" t="s">
        <v>44</v>
      </c>
      <c r="Q29">
        <v>47</v>
      </c>
      <c r="R29">
        <v>10</v>
      </c>
      <c r="S29">
        <v>50</v>
      </c>
      <c r="T29">
        <v>2</v>
      </c>
      <c r="U29" t="s">
        <v>101</v>
      </c>
      <c r="V29" t="s">
        <v>67</v>
      </c>
      <c r="W29" t="s">
        <v>45</v>
      </c>
      <c r="X29" t="s">
        <v>46</v>
      </c>
      <c r="Y29">
        <v>8</v>
      </c>
      <c r="Z29" t="s">
        <v>147</v>
      </c>
      <c r="AA29">
        <v>24</v>
      </c>
      <c r="AB29" t="s">
        <v>186</v>
      </c>
      <c r="AC29">
        <v>4</v>
      </c>
      <c r="AD29">
        <v>11</v>
      </c>
      <c r="AE29" t="s">
        <v>186</v>
      </c>
      <c r="AF29" t="s">
        <v>49</v>
      </c>
    </row>
    <row r="30" spans="1:32" x14ac:dyDescent="0.3">
      <c r="A30" t="s">
        <v>187</v>
      </c>
      <c r="B30" t="s">
        <v>185</v>
      </c>
      <c r="C30" t="s">
        <v>175</v>
      </c>
      <c r="D30" t="s">
        <v>176</v>
      </c>
      <c r="E30" t="s">
        <v>53</v>
      </c>
      <c r="F30" t="s">
        <v>94</v>
      </c>
      <c r="G30" t="s">
        <v>55</v>
      </c>
      <c r="H30" t="s">
        <v>87</v>
      </c>
      <c r="I30" t="s">
        <v>127</v>
      </c>
      <c r="J30" t="s">
        <v>60</v>
      </c>
      <c r="K30" t="s">
        <v>114</v>
      </c>
      <c r="L30" t="s">
        <v>38</v>
      </c>
      <c r="M30" t="s">
        <v>94</v>
      </c>
      <c r="N30" t="s">
        <v>53</v>
      </c>
      <c r="O30" t="s">
        <v>43</v>
      </c>
      <c r="P30" t="s">
        <v>44</v>
      </c>
      <c r="Q30">
        <v>95</v>
      </c>
      <c r="R30">
        <v>10</v>
      </c>
      <c r="S30">
        <v>101</v>
      </c>
      <c r="T30">
        <v>3</v>
      </c>
      <c r="U30" t="s">
        <v>94</v>
      </c>
      <c r="V30" t="s">
        <v>53</v>
      </c>
      <c r="W30" t="s">
        <v>45</v>
      </c>
      <c r="X30" t="s">
        <v>46</v>
      </c>
      <c r="Y30">
        <v>7</v>
      </c>
      <c r="Z30" t="s">
        <v>188</v>
      </c>
      <c r="AA30">
        <v>49</v>
      </c>
      <c r="AB30" t="s">
        <v>98</v>
      </c>
      <c r="AC30">
        <v>3</v>
      </c>
      <c r="AD30">
        <v>16</v>
      </c>
      <c r="AE30" t="s">
        <v>98</v>
      </c>
      <c r="AF30" t="s">
        <v>49</v>
      </c>
    </row>
    <row r="31" spans="1:32" x14ac:dyDescent="0.3">
      <c r="A31" t="s">
        <v>189</v>
      </c>
      <c r="B31" t="s">
        <v>190</v>
      </c>
      <c r="C31" t="s">
        <v>166</v>
      </c>
      <c r="D31" t="s">
        <v>167</v>
      </c>
      <c r="E31" t="s">
        <v>36</v>
      </c>
      <c r="F31" t="s">
        <v>111</v>
      </c>
      <c r="G31" t="s">
        <v>37</v>
      </c>
      <c r="H31" t="s">
        <v>107</v>
      </c>
      <c r="I31" t="s">
        <v>39</v>
      </c>
      <c r="J31" t="s">
        <v>86</v>
      </c>
      <c r="K31" t="s">
        <v>118</v>
      </c>
      <c r="L31" t="s">
        <v>113</v>
      </c>
      <c r="M31" t="s">
        <v>103</v>
      </c>
      <c r="N31" t="s">
        <v>103</v>
      </c>
      <c r="O31" t="s">
        <v>103</v>
      </c>
      <c r="P31" t="s">
        <v>102</v>
      </c>
      <c r="Q31">
        <v>0</v>
      </c>
      <c r="R31">
        <v>0</v>
      </c>
      <c r="S31">
        <v>0</v>
      </c>
      <c r="T31">
        <v>0</v>
      </c>
      <c r="U31" t="s">
        <v>103</v>
      </c>
      <c r="V31" t="s">
        <v>103</v>
      </c>
      <c r="W31" t="s">
        <v>103</v>
      </c>
      <c r="X31" t="s">
        <v>103</v>
      </c>
      <c r="Y31">
        <v>0</v>
      </c>
      <c r="Z31" t="s">
        <v>103</v>
      </c>
      <c r="AA31">
        <v>0</v>
      </c>
      <c r="AB31" t="s">
        <v>103</v>
      </c>
      <c r="AC31">
        <v>0</v>
      </c>
      <c r="AD31">
        <v>0</v>
      </c>
      <c r="AE31" t="s">
        <v>103</v>
      </c>
      <c r="AF31" t="s">
        <v>103</v>
      </c>
    </row>
    <row r="32" spans="1:32" x14ac:dyDescent="0.3">
      <c r="A32" t="s">
        <v>191</v>
      </c>
      <c r="B32" t="s">
        <v>190</v>
      </c>
      <c r="C32" t="s">
        <v>180</v>
      </c>
      <c r="D32" t="s">
        <v>181</v>
      </c>
      <c r="E32" t="s">
        <v>83</v>
      </c>
      <c r="F32" t="s">
        <v>105</v>
      </c>
      <c r="G32" t="s">
        <v>84</v>
      </c>
      <c r="H32" t="s">
        <v>70</v>
      </c>
      <c r="I32" t="s">
        <v>71</v>
      </c>
      <c r="J32" t="s">
        <v>42</v>
      </c>
      <c r="K32" t="s">
        <v>41</v>
      </c>
      <c r="L32" t="s">
        <v>85</v>
      </c>
      <c r="M32" t="s">
        <v>105</v>
      </c>
      <c r="N32" t="s">
        <v>83</v>
      </c>
      <c r="O32" t="s">
        <v>43</v>
      </c>
      <c r="P32" t="s">
        <v>44</v>
      </c>
      <c r="Q32">
        <v>115</v>
      </c>
      <c r="R32">
        <v>7</v>
      </c>
      <c r="S32">
        <v>114</v>
      </c>
      <c r="T32">
        <v>7</v>
      </c>
      <c r="U32" t="s">
        <v>83</v>
      </c>
      <c r="V32" t="s">
        <v>105</v>
      </c>
      <c r="W32" t="s">
        <v>45</v>
      </c>
      <c r="X32" t="s">
        <v>96</v>
      </c>
      <c r="Y32">
        <v>1</v>
      </c>
      <c r="Z32" t="s">
        <v>192</v>
      </c>
      <c r="AA32">
        <v>43</v>
      </c>
      <c r="AB32" t="s">
        <v>193</v>
      </c>
      <c r="AC32">
        <v>4</v>
      </c>
      <c r="AD32">
        <v>19</v>
      </c>
      <c r="AE32" t="s">
        <v>193</v>
      </c>
      <c r="AF32" t="s">
        <v>49</v>
      </c>
    </row>
    <row r="33" spans="1:32" x14ac:dyDescent="0.3">
      <c r="A33" t="s">
        <v>194</v>
      </c>
      <c r="B33" t="s">
        <v>190</v>
      </c>
      <c r="C33" t="s">
        <v>175</v>
      </c>
      <c r="D33" t="s">
        <v>176</v>
      </c>
      <c r="E33" t="s">
        <v>95</v>
      </c>
      <c r="F33" t="s">
        <v>137</v>
      </c>
      <c r="G33" t="s">
        <v>55</v>
      </c>
      <c r="H33" t="s">
        <v>89</v>
      </c>
      <c r="I33" t="s">
        <v>38</v>
      </c>
      <c r="J33" t="s">
        <v>60</v>
      </c>
      <c r="K33" t="s">
        <v>114</v>
      </c>
      <c r="L33" t="s">
        <v>58</v>
      </c>
      <c r="M33" t="s">
        <v>137</v>
      </c>
      <c r="N33" t="s">
        <v>95</v>
      </c>
      <c r="O33" t="s">
        <v>43</v>
      </c>
      <c r="P33" t="s">
        <v>44</v>
      </c>
      <c r="Q33">
        <v>40</v>
      </c>
      <c r="R33">
        <v>10</v>
      </c>
      <c r="S33">
        <v>41</v>
      </c>
      <c r="T33">
        <v>1</v>
      </c>
      <c r="U33" t="s">
        <v>137</v>
      </c>
      <c r="V33" t="s">
        <v>95</v>
      </c>
      <c r="W33" t="s">
        <v>45</v>
      </c>
      <c r="X33" t="s">
        <v>46</v>
      </c>
      <c r="Y33">
        <v>9</v>
      </c>
      <c r="Z33" t="s">
        <v>195</v>
      </c>
      <c r="AA33">
        <v>22</v>
      </c>
      <c r="AB33" t="s">
        <v>196</v>
      </c>
      <c r="AC33">
        <v>3</v>
      </c>
      <c r="AD33">
        <v>4</v>
      </c>
      <c r="AE33" t="s">
        <v>196</v>
      </c>
      <c r="AF33" t="s">
        <v>49</v>
      </c>
    </row>
    <row r="34" spans="1:32" x14ac:dyDescent="0.3">
      <c r="A34" t="s">
        <v>197</v>
      </c>
      <c r="B34" t="s">
        <v>198</v>
      </c>
      <c r="C34" t="s">
        <v>166</v>
      </c>
      <c r="D34" t="s">
        <v>167</v>
      </c>
      <c r="E34" t="s">
        <v>35</v>
      </c>
      <c r="F34" t="s">
        <v>112</v>
      </c>
      <c r="G34" t="s">
        <v>37</v>
      </c>
      <c r="H34" t="s">
        <v>86</v>
      </c>
      <c r="I34" t="s">
        <v>39</v>
      </c>
      <c r="J34" t="s">
        <v>113</v>
      </c>
      <c r="K34" t="s">
        <v>59</v>
      </c>
      <c r="L34" t="s">
        <v>107</v>
      </c>
      <c r="M34" t="s">
        <v>103</v>
      </c>
      <c r="N34" t="s">
        <v>103</v>
      </c>
      <c r="O34" t="s">
        <v>103</v>
      </c>
      <c r="P34" t="s">
        <v>102</v>
      </c>
      <c r="Q34">
        <v>0</v>
      </c>
      <c r="R34">
        <v>0</v>
      </c>
      <c r="S34">
        <v>0</v>
      </c>
      <c r="T34">
        <v>0</v>
      </c>
      <c r="U34" t="s">
        <v>103</v>
      </c>
      <c r="V34" t="s">
        <v>103</v>
      </c>
      <c r="W34" t="s">
        <v>103</v>
      </c>
      <c r="X34" t="s">
        <v>103</v>
      </c>
      <c r="Y34">
        <v>0</v>
      </c>
      <c r="Z34" t="s">
        <v>103</v>
      </c>
      <c r="AA34">
        <v>0</v>
      </c>
      <c r="AB34" t="s">
        <v>103</v>
      </c>
      <c r="AC34">
        <v>0</v>
      </c>
      <c r="AD34">
        <v>0</v>
      </c>
      <c r="AE34" t="s">
        <v>103</v>
      </c>
      <c r="AF34" t="s">
        <v>103</v>
      </c>
    </row>
    <row r="35" spans="1:32" x14ac:dyDescent="0.3">
      <c r="A35" t="s">
        <v>199</v>
      </c>
      <c r="B35" t="s">
        <v>198</v>
      </c>
      <c r="C35" t="s">
        <v>155</v>
      </c>
      <c r="D35" t="s">
        <v>156</v>
      </c>
      <c r="E35" t="s">
        <v>101</v>
      </c>
      <c r="F35" t="s">
        <v>68</v>
      </c>
      <c r="G35" t="s">
        <v>69</v>
      </c>
      <c r="H35" t="s">
        <v>56</v>
      </c>
      <c r="I35" t="s">
        <v>40</v>
      </c>
      <c r="J35" t="s">
        <v>74</v>
      </c>
      <c r="K35" t="s">
        <v>73</v>
      </c>
      <c r="L35" t="s">
        <v>57</v>
      </c>
      <c r="M35" t="s">
        <v>68</v>
      </c>
      <c r="N35" t="s">
        <v>101</v>
      </c>
      <c r="O35" t="s">
        <v>43</v>
      </c>
      <c r="P35" t="s">
        <v>44</v>
      </c>
      <c r="Q35">
        <v>122</v>
      </c>
      <c r="R35">
        <v>5</v>
      </c>
      <c r="S35">
        <v>84</v>
      </c>
      <c r="T35">
        <v>3</v>
      </c>
      <c r="U35" t="s">
        <v>101</v>
      </c>
      <c r="V35" t="s">
        <v>68</v>
      </c>
      <c r="W35" t="s">
        <v>45</v>
      </c>
      <c r="X35" t="s">
        <v>96</v>
      </c>
      <c r="Y35">
        <v>41</v>
      </c>
      <c r="Z35" t="s">
        <v>200</v>
      </c>
      <c r="AA35">
        <v>47</v>
      </c>
      <c r="AB35" t="s">
        <v>77</v>
      </c>
      <c r="AC35">
        <v>1</v>
      </c>
      <c r="AD35">
        <v>6</v>
      </c>
      <c r="AE35" t="s">
        <v>200</v>
      </c>
      <c r="AF35" t="s">
        <v>49</v>
      </c>
    </row>
    <row r="36" spans="1:32" x14ac:dyDescent="0.3">
      <c r="A36" t="s">
        <v>201</v>
      </c>
      <c r="B36" t="s">
        <v>198</v>
      </c>
      <c r="C36" t="s">
        <v>202</v>
      </c>
      <c r="D36" t="s">
        <v>203</v>
      </c>
      <c r="E36" t="s">
        <v>100</v>
      </c>
      <c r="F36" t="s">
        <v>122</v>
      </c>
      <c r="G36" t="s">
        <v>69</v>
      </c>
      <c r="H36" t="s">
        <v>72</v>
      </c>
      <c r="I36" t="s">
        <v>127</v>
      </c>
      <c r="J36" t="s">
        <v>126</v>
      </c>
      <c r="K36" t="s">
        <v>88</v>
      </c>
      <c r="L36" t="s">
        <v>87</v>
      </c>
      <c r="M36" t="s">
        <v>122</v>
      </c>
      <c r="N36" t="s">
        <v>100</v>
      </c>
      <c r="O36" t="s">
        <v>43</v>
      </c>
      <c r="P36" t="s">
        <v>44</v>
      </c>
      <c r="Q36">
        <v>180</v>
      </c>
      <c r="R36">
        <v>5</v>
      </c>
      <c r="S36">
        <v>186</v>
      </c>
      <c r="T36">
        <v>5</v>
      </c>
      <c r="U36" t="s">
        <v>122</v>
      </c>
      <c r="V36" t="s">
        <v>100</v>
      </c>
      <c r="W36" t="s">
        <v>45</v>
      </c>
      <c r="X36" t="s">
        <v>46</v>
      </c>
      <c r="Y36">
        <v>5</v>
      </c>
      <c r="Z36" t="s">
        <v>123</v>
      </c>
      <c r="AA36">
        <v>59</v>
      </c>
      <c r="AB36" t="s">
        <v>204</v>
      </c>
      <c r="AC36">
        <v>2</v>
      </c>
      <c r="AD36">
        <v>34</v>
      </c>
      <c r="AE36" t="s">
        <v>123</v>
      </c>
      <c r="AF36" t="s">
        <v>49</v>
      </c>
    </row>
    <row r="37" spans="1:32" x14ac:dyDescent="0.3">
      <c r="A37" t="s">
        <v>205</v>
      </c>
      <c r="B37" t="s">
        <v>198</v>
      </c>
      <c r="C37" t="s">
        <v>166</v>
      </c>
      <c r="D37" t="s">
        <v>167</v>
      </c>
      <c r="E37" t="s">
        <v>111</v>
      </c>
      <c r="F37" t="s">
        <v>125</v>
      </c>
      <c r="G37" t="s">
        <v>37</v>
      </c>
      <c r="H37" t="s">
        <v>113</v>
      </c>
      <c r="I37" t="s">
        <v>107</v>
      </c>
      <c r="J37" t="s">
        <v>86</v>
      </c>
      <c r="K37" t="s">
        <v>118</v>
      </c>
      <c r="L37" t="s">
        <v>39</v>
      </c>
      <c r="M37" t="s">
        <v>125</v>
      </c>
      <c r="N37" t="s">
        <v>111</v>
      </c>
      <c r="O37" t="s">
        <v>43</v>
      </c>
      <c r="P37" t="s">
        <v>44</v>
      </c>
      <c r="Q37">
        <v>106</v>
      </c>
      <c r="R37">
        <v>9</v>
      </c>
      <c r="S37">
        <v>111</v>
      </c>
      <c r="T37">
        <v>7</v>
      </c>
      <c r="U37" t="s">
        <v>125</v>
      </c>
      <c r="V37" t="s">
        <v>111</v>
      </c>
      <c r="W37" t="s">
        <v>45</v>
      </c>
      <c r="X37" t="s">
        <v>46</v>
      </c>
      <c r="Y37">
        <v>3</v>
      </c>
      <c r="Z37" t="s">
        <v>206</v>
      </c>
      <c r="AA37">
        <v>32</v>
      </c>
      <c r="AB37" t="s">
        <v>207</v>
      </c>
      <c r="AC37">
        <v>3</v>
      </c>
      <c r="AD37">
        <v>22</v>
      </c>
      <c r="AE37" t="s">
        <v>207</v>
      </c>
      <c r="AF37" t="s">
        <v>49</v>
      </c>
    </row>
    <row r="38" spans="1:32" x14ac:dyDescent="0.3">
      <c r="A38" t="s">
        <v>208</v>
      </c>
      <c r="B38" t="s">
        <v>209</v>
      </c>
      <c r="C38" t="s">
        <v>180</v>
      </c>
      <c r="D38" t="s">
        <v>181</v>
      </c>
      <c r="E38" t="s">
        <v>140</v>
      </c>
      <c r="F38" t="s">
        <v>105</v>
      </c>
      <c r="G38" t="s">
        <v>84</v>
      </c>
      <c r="H38" t="s">
        <v>60</v>
      </c>
      <c r="I38" t="s">
        <v>42</v>
      </c>
      <c r="J38" t="s">
        <v>58</v>
      </c>
      <c r="K38" t="s">
        <v>41</v>
      </c>
      <c r="L38" t="s">
        <v>70</v>
      </c>
      <c r="M38" t="s">
        <v>105</v>
      </c>
      <c r="N38" t="s">
        <v>140</v>
      </c>
      <c r="O38" t="s">
        <v>43</v>
      </c>
      <c r="P38" t="s">
        <v>44</v>
      </c>
      <c r="Q38">
        <v>106</v>
      </c>
      <c r="R38">
        <v>10</v>
      </c>
      <c r="S38">
        <v>85</v>
      </c>
      <c r="T38">
        <v>10</v>
      </c>
      <c r="U38" t="s">
        <v>140</v>
      </c>
      <c r="V38" t="s">
        <v>105</v>
      </c>
      <c r="W38" t="s">
        <v>45</v>
      </c>
      <c r="X38" t="s">
        <v>96</v>
      </c>
      <c r="Y38">
        <v>21</v>
      </c>
      <c r="Z38" t="s">
        <v>210</v>
      </c>
      <c r="AA38">
        <v>27</v>
      </c>
      <c r="AB38" t="s">
        <v>161</v>
      </c>
      <c r="AC38">
        <v>4</v>
      </c>
      <c r="AD38">
        <v>7</v>
      </c>
      <c r="AE38" t="s">
        <v>161</v>
      </c>
      <c r="AF38" t="s">
        <v>49</v>
      </c>
    </row>
    <row r="39" spans="1:32" x14ac:dyDescent="0.3">
      <c r="A39" t="s">
        <v>211</v>
      </c>
      <c r="B39" t="s">
        <v>209</v>
      </c>
      <c r="C39" t="s">
        <v>202</v>
      </c>
      <c r="D39" t="s">
        <v>203</v>
      </c>
      <c r="E39" t="s">
        <v>82</v>
      </c>
      <c r="F39" t="s">
        <v>106</v>
      </c>
      <c r="G39" t="s">
        <v>84</v>
      </c>
      <c r="H39" t="s">
        <v>87</v>
      </c>
      <c r="I39" t="s">
        <v>126</v>
      </c>
      <c r="J39" t="s">
        <v>72</v>
      </c>
      <c r="K39" t="s">
        <v>88</v>
      </c>
      <c r="L39" t="s">
        <v>127</v>
      </c>
      <c r="M39" t="s">
        <v>106</v>
      </c>
      <c r="N39" t="s">
        <v>82</v>
      </c>
      <c r="O39" t="s">
        <v>43</v>
      </c>
      <c r="P39" t="s">
        <v>44</v>
      </c>
      <c r="Q39">
        <v>201</v>
      </c>
      <c r="R39">
        <v>6</v>
      </c>
      <c r="S39">
        <v>118</v>
      </c>
      <c r="T39">
        <v>10</v>
      </c>
      <c r="U39" t="s">
        <v>82</v>
      </c>
      <c r="V39" t="s">
        <v>106</v>
      </c>
      <c r="W39" t="s">
        <v>45</v>
      </c>
      <c r="X39" t="s">
        <v>96</v>
      </c>
      <c r="Y39">
        <v>83</v>
      </c>
      <c r="Z39" t="s">
        <v>212</v>
      </c>
      <c r="AA39">
        <v>46</v>
      </c>
      <c r="AB39" t="s">
        <v>213</v>
      </c>
      <c r="AC39">
        <v>3</v>
      </c>
      <c r="AD39">
        <v>24</v>
      </c>
      <c r="AE39" t="s">
        <v>212</v>
      </c>
      <c r="AF39" t="s">
        <v>49</v>
      </c>
    </row>
    <row r="40" spans="1:32" x14ac:dyDescent="0.3">
      <c r="A40" t="s">
        <v>214</v>
      </c>
      <c r="B40" t="s">
        <v>209</v>
      </c>
      <c r="C40" t="s">
        <v>175</v>
      </c>
      <c r="D40" t="s">
        <v>176</v>
      </c>
      <c r="E40" t="s">
        <v>53</v>
      </c>
      <c r="F40" t="s">
        <v>137</v>
      </c>
      <c r="G40" t="s">
        <v>55</v>
      </c>
      <c r="H40" t="s">
        <v>40</v>
      </c>
      <c r="I40" t="s">
        <v>89</v>
      </c>
      <c r="J40" t="s">
        <v>38</v>
      </c>
      <c r="K40" t="s">
        <v>114</v>
      </c>
      <c r="L40" t="s">
        <v>71</v>
      </c>
      <c r="M40" t="s">
        <v>137</v>
      </c>
      <c r="N40" t="s">
        <v>53</v>
      </c>
      <c r="O40" t="s">
        <v>43</v>
      </c>
      <c r="P40" t="s">
        <v>44</v>
      </c>
      <c r="Q40">
        <v>78</v>
      </c>
      <c r="R40">
        <v>10</v>
      </c>
      <c r="S40">
        <v>79</v>
      </c>
      <c r="T40">
        <v>3</v>
      </c>
      <c r="U40" t="s">
        <v>137</v>
      </c>
      <c r="V40" t="s">
        <v>53</v>
      </c>
      <c r="W40" t="s">
        <v>45</v>
      </c>
      <c r="X40" t="s">
        <v>46</v>
      </c>
      <c r="Y40">
        <v>7</v>
      </c>
      <c r="Z40" t="s">
        <v>195</v>
      </c>
      <c r="AA40">
        <v>35</v>
      </c>
      <c r="AB40" t="s">
        <v>215</v>
      </c>
      <c r="AC40">
        <v>3</v>
      </c>
      <c r="AD40">
        <v>0</v>
      </c>
      <c r="AE40" t="s">
        <v>215</v>
      </c>
      <c r="AF40" t="s">
        <v>49</v>
      </c>
    </row>
    <row r="41" spans="1:32" x14ac:dyDescent="0.3">
      <c r="A41" t="s">
        <v>216</v>
      </c>
      <c r="B41" t="s">
        <v>217</v>
      </c>
      <c r="C41" t="s">
        <v>202</v>
      </c>
      <c r="D41" t="s">
        <v>203</v>
      </c>
      <c r="E41" t="s">
        <v>54</v>
      </c>
      <c r="F41" t="s">
        <v>94</v>
      </c>
      <c r="G41" t="s">
        <v>55</v>
      </c>
      <c r="H41" t="s">
        <v>126</v>
      </c>
      <c r="I41" t="s">
        <v>85</v>
      </c>
      <c r="J41" t="s">
        <v>127</v>
      </c>
      <c r="K41" t="s">
        <v>88</v>
      </c>
      <c r="L41" t="s">
        <v>87</v>
      </c>
      <c r="M41" t="s">
        <v>94</v>
      </c>
      <c r="N41" t="s">
        <v>54</v>
      </c>
      <c r="O41" t="s">
        <v>43</v>
      </c>
      <c r="P41" t="s">
        <v>44</v>
      </c>
      <c r="Q41">
        <v>218</v>
      </c>
      <c r="R41">
        <v>5</v>
      </c>
      <c r="S41">
        <v>114</v>
      </c>
      <c r="T41">
        <v>10</v>
      </c>
      <c r="U41" t="s">
        <v>54</v>
      </c>
      <c r="V41" t="s">
        <v>94</v>
      </c>
      <c r="W41" t="s">
        <v>45</v>
      </c>
      <c r="X41" t="s">
        <v>96</v>
      </c>
      <c r="Y41">
        <v>104</v>
      </c>
      <c r="Z41" t="s">
        <v>218</v>
      </c>
      <c r="AA41">
        <v>98</v>
      </c>
      <c r="AB41" t="s">
        <v>219</v>
      </c>
      <c r="AC41">
        <v>3</v>
      </c>
      <c r="AD41">
        <v>14</v>
      </c>
      <c r="AE41" t="s">
        <v>218</v>
      </c>
      <c r="AF41" t="s">
        <v>49</v>
      </c>
    </row>
    <row r="42" spans="1:32" x14ac:dyDescent="0.3">
      <c r="A42" t="s">
        <v>220</v>
      </c>
      <c r="B42" t="s">
        <v>221</v>
      </c>
      <c r="C42" t="s">
        <v>155</v>
      </c>
      <c r="D42" t="s">
        <v>156</v>
      </c>
      <c r="E42" t="s">
        <v>83</v>
      </c>
      <c r="F42" t="s">
        <v>36</v>
      </c>
      <c r="G42" t="s">
        <v>37</v>
      </c>
      <c r="H42" t="s">
        <v>113</v>
      </c>
      <c r="I42" t="s">
        <v>86</v>
      </c>
      <c r="J42" t="s">
        <v>40</v>
      </c>
      <c r="K42" t="s">
        <v>73</v>
      </c>
      <c r="L42" t="s">
        <v>40</v>
      </c>
      <c r="M42" t="s">
        <v>36</v>
      </c>
      <c r="N42" t="s">
        <v>83</v>
      </c>
      <c r="O42" t="s">
        <v>43</v>
      </c>
      <c r="P42" t="s">
        <v>44</v>
      </c>
      <c r="Q42">
        <v>194</v>
      </c>
      <c r="R42">
        <v>4</v>
      </c>
      <c r="S42">
        <v>176</v>
      </c>
      <c r="T42">
        <v>6</v>
      </c>
      <c r="U42" t="s">
        <v>83</v>
      </c>
      <c r="V42" t="s">
        <v>36</v>
      </c>
      <c r="W42" t="s">
        <v>45</v>
      </c>
      <c r="X42" t="s">
        <v>96</v>
      </c>
      <c r="Y42">
        <v>18</v>
      </c>
      <c r="Z42" t="s">
        <v>91</v>
      </c>
      <c r="AA42">
        <v>74</v>
      </c>
      <c r="AB42" t="s">
        <v>222</v>
      </c>
      <c r="AC42">
        <v>3</v>
      </c>
      <c r="AD42">
        <v>18</v>
      </c>
      <c r="AE42" t="s">
        <v>91</v>
      </c>
      <c r="AF42" t="s">
        <v>49</v>
      </c>
    </row>
    <row r="43" spans="1:32" x14ac:dyDescent="0.3">
      <c r="A43" t="s">
        <v>223</v>
      </c>
      <c r="B43" t="s">
        <v>224</v>
      </c>
      <c r="C43" t="s">
        <v>202</v>
      </c>
      <c r="D43" t="s">
        <v>203</v>
      </c>
      <c r="E43" t="s">
        <v>54</v>
      </c>
      <c r="F43" t="s">
        <v>101</v>
      </c>
      <c r="G43" t="s">
        <v>225</v>
      </c>
      <c r="H43" t="s">
        <v>60</v>
      </c>
      <c r="I43" t="s">
        <v>74</v>
      </c>
      <c r="J43" t="s">
        <v>85</v>
      </c>
      <c r="K43" t="s">
        <v>88</v>
      </c>
      <c r="L43" t="s">
        <v>39</v>
      </c>
      <c r="M43" t="s">
        <v>101</v>
      </c>
      <c r="N43" t="s">
        <v>54</v>
      </c>
      <c r="O43" t="s">
        <v>43</v>
      </c>
      <c r="P43" t="s">
        <v>44</v>
      </c>
      <c r="Q43">
        <v>180</v>
      </c>
      <c r="R43">
        <v>4</v>
      </c>
      <c r="S43">
        <v>181</v>
      </c>
      <c r="T43">
        <v>2</v>
      </c>
      <c r="U43" t="s">
        <v>101</v>
      </c>
      <c r="V43" t="s">
        <v>54</v>
      </c>
      <c r="W43" t="s">
        <v>45</v>
      </c>
      <c r="X43" t="s">
        <v>46</v>
      </c>
      <c r="Y43">
        <v>8</v>
      </c>
      <c r="Z43" t="s">
        <v>226</v>
      </c>
      <c r="AA43">
        <v>87</v>
      </c>
      <c r="AB43" t="s">
        <v>186</v>
      </c>
      <c r="AC43">
        <v>1</v>
      </c>
      <c r="AD43">
        <v>15</v>
      </c>
      <c r="AE43" t="s">
        <v>226</v>
      </c>
      <c r="AF43" t="s">
        <v>49</v>
      </c>
    </row>
    <row r="44" spans="1:32" x14ac:dyDescent="0.3">
      <c r="A44" t="s">
        <v>227</v>
      </c>
      <c r="B44" t="s">
        <v>224</v>
      </c>
      <c r="C44" t="s">
        <v>65</v>
      </c>
      <c r="D44" t="s">
        <v>66</v>
      </c>
      <c r="E44" t="s">
        <v>112</v>
      </c>
      <c r="F44" t="s">
        <v>94</v>
      </c>
      <c r="G44" t="s">
        <v>228</v>
      </c>
      <c r="H44" t="s">
        <v>89</v>
      </c>
      <c r="I44" t="s">
        <v>107</v>
      </c>
      <c r="J44" t="s">
        <v>87</v>
      </c>
      <c r="K44" t="s">
        <v>114</v>
      </c>
      <c r="L44" t="s">
        <v>126</v>
      </c>
      <c r="M44" t="s">
        <v>112</v>
      </c>
      <c r="N44" t="s">
        <v>94</v>
      </c>
      <c r="O44" t="s">
        <v>90</v>
      </c>
      <c r="P44" t="s">
        <v>44</v>
      </c>
      <c r="Q44">
        <v>181</v>
      </c>
      <c r="R44">
        <v>8</v>
      </c>
      <c r="S44">
        <v>134</v>
      </c>
      <c r="T44">
        <v>10</v>
      </c>
      <c r="U44" t="s">
        <v>112</v>
      </c>
      <c r="V44" t="s">
        <v>94</v>
      </c>
      <c r="W44" t="s">
        <v>45</v>
      </c>
      <c r="X44" t="s">
        <v>96</v>
      </c>
      <c r="Y44">
        <v>47</v>
      </c>
      <c r="Z44" t="s">
        <v>171</v>
      </c>
      <c r="AA44">
        <v>53</v>
      </c>
      <c r="AB44" t="s">
        <v>138</v>
      </c>
      <c r="AC44">
        <v>3</v>
      </c>
      <c r="AD44">
        <v>26</v>
      </c>
      <c r="AE44" t="s">
        <v>171</v>
      </c>
      <c r="AF44" t="s">
        <v>49</v>
      </c>
    </row>
    <row r="45" spans="1:32" x14ac:dyDescent="0.3">
      <c r="A45" t="s">
        <v>229</v>
      </c>
      <c r="B45" t="s">
        <v>230</v>
      </c>
      <c r="C45" t="s">
        <v>155</v>
      </c>
      <c r="D45" t="s">
        <v>156</v>
      </c>
      <c r="E45" t="s">
        <v>140</v>
      </c>
      <c r="F45" t="s">
        <v>122</v>
      </c>
      <c r="G45" t="s">
        <v>228</v>
      </c>
      <c r="H45" t="s">
        <v>127</v>
      </c>
      <c r="I45" t="s">
        <v>38</v>
      </c>
      <c r="J45" t="s">
        <v>56</v>
      </c>
      <c r="K45" t="s">
        <v>41</v>
      </c>
      <c r="L45" t="s">
        <v>58</v>
      </c>
      <c r="M45" t="s">
        <v>122</v>
      </c>
      <c r="N45" t="s">
        <v>140</v>
      </c>
      <c r="O45" t="s">
        <v>43</v>
      </c>
      <c r="P45" t="s">
        <v>44</v>
      </c>
      <c r="Q45">
        <v>140</v>
      </c>
      <c r="R45">
        <v>8</v>
      </c>
      <c r="S45">
        <v>100</v>
      </c>
      <c r="T45">
        <v>2</v>
      </c>
      <c r="U45" t="s">
        <v>122</v>
      </c>
      <c r="V45" t="s">
        <v>140</v>
      </c>
      <c r="W45" t="s">
        <v>231</v>
      </c>
      <c r="X45" t="s">
        <v>96</v>
      </c>
      <c r="Y45">
        <v>28</v>
      </c>
      <c r="Z45" t="s">
        <v>232</v>
      </c>
      <c r="AA45">
        <v>53</v>
      </c>
      <c r="AB45" t="s">
        <v>233</v>
      </c>
      <c r="AC45">
        <v>3</v>
      </c>
      <c r="AD45">
        <v>29</v>
      </c>
      <c r="AE45" t="s">
        <v>233</v>
      </c>
      <c r="AF45" t="s">
        <v>49</v>
      </c>
    </row>
    <row r="46" spans="1:32" x14ac:dyDescent="0.3">
      <c r="A46" t="s">
        <v>234</v>
      </c>
      <c r="B46" t="s">
        <v>230</v>
      </c>
      <c r="C46" t="s">
        <v>202</v>
      </c>
      <c r="D46" t="s">
        <v>203</v>
      </c>
      <c r="E46" t="s">
        <v>83</v>
      </c>
      <c r="F46" t="s">
        <v>101</v>
      </c>
      <c r="G46" t="s">
        <v>225</v>
      </c>
      <c r="H46" t="s">
        <v>85</v>
      </c>
      <c r="I46" t="s">
        <v>39</v>
      </c>
      <c r="J46" t="s">
        <v>113</v>
      </c>
      <c r="K46" t="s">
        <v>88</v>
      </c>
      <c r="L46" t="s">
        <v>71</v>
      </c>
      <c r="M46" t="s">
        <v>101</v>
      </c>
      <c r="N46" t="s">
        <v>83</v>
      </c>
      <c r="O46" t="s">
        <v>43</v>
      </c>
      <c r="P46" t="s">
        <v>44</v>
      </c>
      <c r="Q46">
        <v>163</v>
      </c>
      <c r="R46">
        <v>6</v>
      </c>
      <c r="S46">
        <v>156</v>
      </c>
      <c r="T46">
        <v>6</v>
      </c>
      <c r="U46" t="s">
        <v>83</v>
      </c>
      <c r="V46" t="s">
        <v>101</v>
      </c>
      <c r="W46" t="s">
        <v>45</v>
      </c>
      <c r="X46" t="s">
        <v>96</v>
      </c>
      <c r="Y46">
        <v>7</v>
      </c>
      <c r="Z46" t="s">
        <v>91</v>
      </c>
      <c r="AA46">
        <v>65</v>
      </c>
      <c r="AB46" t="s">
        <v>235</v>
      </c>
      <c r="AC46">
        <v>3</v>
      </c>
      <c r="AD46">
        <v>40</v>
      </c>
      <c r="AE46" t="s">
        <v>91</v>
      </c>
      <c r="AF46" t="s">
        <v>49</v>
      </c>
    </row>
    <row r="47" spans="1:32" x14ac:dyDescent="0.3">
      <c r="A47" t="s">
        <v>236</v>
      </c>
      <c r="B47" t="s">
        <v>237</v>
      </c>
      <c r="C47" t="s">
        <v>65</v>
      </c>
      <c r="D47" t="s">
        <v>66</v>
      </c>
      <c r="E47" t="s">
        <v>36</v>
      </c>
      <c r="F47" t="s">
        <v>54</v>
      </c>
      <c r="G47" t="s">
        <v>225</v>
      </c>
      <c r="H47" t="s">
        <v>126</v>
      </c>
      <c r="I47" t="s">
        <v>89</v>
      </c>
      <c r="J47" t="s">
        <v>87</v>
      </c>
      <c r="K47" t="s">
        <v>114</v>
      </c>
      <c r="L47" t="s">
        <v>107</v>
      </c>
      <c r="M47" t="s">
        <v>54</v>
      </c>
      <c r="N47" t="s">
        <v>36</v>
      </c>
      <c r="O47" t="s">
        <v>43</v>
      </c>
      <c r="P47" t="s">
        <v>44</v>
      </c>
      <c r="Q47">
        <v>128</v>
      </c>
      <c r="R47">
        <v>10</v>
      </c>
      <c r="S47">
        <v>130</v>
      </c>
      <c r="T47">
        <v>1</v>
      </c>
      <c r="U47" t="s">
        <v>54</v>
      </c>
      <c r="V47" t="s">
        <v>36</v>
      </c>
      <c r="W47" t="s">
        <v>45</v>
      </c>
      <c r="X47" t="s">
        <v>46</v>
      </c>
      <c r="Y47">
        <v>9</v>
      </c>
      <c r="Z47" t="s">
        <v>238</v>
      </c>
      <c r="AA47">
        <v>82</v>
      </c>
      <c r="AB47" t="s">
        <v>63</v>
      </c>
      <c r="AC47">
        <v>3</v>
      </c>
      <c r="AD47">
        <v>19</v>
      </c>
      <c r="AE47" t="s">
        <v>63</v>
      </c>
      <c r="AF47" t="s">
        <v>49</v>
      </c>
    </row>
    <row r="48" spans="1:32" x14ac:dyDescent="0.3">
      <c r="A48" t="s">
        <v>239</v>
      </c>
      <c r="B48" t="s">
        <v>237</v>
      </c>
      <c r="C48" t="s">
        <v>155</v>
      </c>
      <c r="D48" t="s">
        <v>156</v>
      </c>
      <c r="E48" t="s">
        <v>112</v>
      </c>
      <c r="F48" t="s">
        <v>140</v>
      </c>
      <c r="G48" t="s">
        <v>228</v>
      </c>
      <c r="H48" t="s">
        <v>56</v>
      </c>
      <c r="I48" t="s">
        <v>127</v>
      </c>
      <c r="J48" t="s">
        <v>86</v>
      </c>
      <c r="K48" t="s">
        <v>73</v>
      </c>
      <c r="L48" t="s">
        <v>40</v>
      </c>
      <c r="M48" t="s">
        <v>140</v>
      </c>
      <c r="N48" t="s">
        <v>112</v>
      </c>
      <c r="O48" t="s">
        <v>43</v>
      </c>
      <c r="P48" t="s">
        <v>44</v>
      </c>
      <c r="Q48">
        <v>196</v>
      </c>
      <c r="R48">
        <v>5</v>
      </c>
      <c r="S48">
        <v>146</v>
      </c>
      <c r="T48">
        <v>8</v>
      </c>
      <c r="U48" t="s">
        <v>112</v>
      </c>
      <c r="V48" t="s">
        <v>140</v>
      </c>
      <c r="W48" t="s">
        <v>45</v>
      </c>
      <c r="X48" t="s">
        <v>96</v>
      </c>
      <c r="Y48">
        <v>50</v>
      </c>
      <c r="Z48" t="s">
        <v>240</v>
      </c>
      <c r="AA48">
        <v>50</v>
      </c>
      <c r="AB48" t="s">
        <v>241</v>
      </c>
      <c r="AC48">
        <v>3</v>
      </c>
      <c r="AD48">
        <v>19</v>
      </c>
      <c r="AE48" t="s">
        <v>240</v>
      </c>
      <c r="AF48" t="s">
        <v>49</v>
      </c>
    </row>
    <row r="49" spans="1:32" x14ac:dyDescent="0.3">
      <c r="A49" t="s">
        <v>242</v>
      </c>
      <c r="B49" t="s">
        <v>243</v>
      </c>
      <c r="C49" t="s">
        <v>180</v>
      </c>
      <c r="D49" t="s">
        <v>181</v>
      </c>
      <c r="E49" t="s">
        <v>94</v>
      </c>
      <c r="F49" t="s">
        <v>122</v>
      </c>
      <c r="G49" t="s">
        <v>228</v>
      </c>
      <c r="H49" t="s">
        <v>60</v>
      </c>
      <c r="I49" t="s">
        <v>58</v>
      </c>
      <c r="J49" t="s">
        <v>74</v>
      </c>
      <c r="K49" t="s">
        <v>88</v>
      </c>
      <c r="L49" t="s">
        <v>38</v>
      </c>
      <c r="M49" t="s">
        <v>122</v>
      </c>
      <c r="N49" t="s">
        <v>94</v>
      </c>
      <c r="O49" t="s">
        <v>43</v>
      </c>
      <c r="P49" t="s">
        <v>44</v>
      </c>
      <c r="Q49">
        <v>148</v>
      </c>
      <c r="R49">
        <v>6</v>
      </c>
      <c r="S49">
        <v>127</v>
      </c>
      <c r="T49">
        <v>10</v>
      </c>
      <c r="U49" t="s">
        <v>94</v>
      </c>
      <c r="V49" t="s">
        <v>122</v>
      </c>
      <c r="W49" t="s">
        <v>45</v>
      </c>
      <c r="X49" t="s">
        <v>96</v>
      </c>
      <c r="Y49">
        <v>21</v>
      </c>
      <c r="Z49" t="s">
        <v>97</v>
      </c>
      <c r="AA49">
        <v>60</v>
      </c>
      <c r="AB49" t="s">
        <v>188</v>
      </c>
      <c r="AC49">
        <v>4</v>
      </c>
      <c r="AD49">
        <v>20</v>
      </c>
      <c r="AE49" t="s">
        <v>188</v>
      </c>
      <c r="AF49" t="s">
        <v>49</v>
      </c>
    </row>
    <row r="50" spans="1:32" x14ac:dyDescent="0.3">
      <c r="A50" t="s">
        <v>244</v>
      </c>
      <c r="B50" t="s">
        <v>243</v>
      </c>
      <c r="C50" t="s">
        <v>65</v>
      </c>
      <c r="D50" t="s">
        <v>66</v>
      </c>
      <c r="E50" t="s">
        <v>36</v>
      </c>
      <c r="F50" t="s">
        <v>101</v>
      </c>
      <c r="G50" t="s">
        <v>225</v>
      </c>
      <c r="H50" t="s">
        <v>113</v>
      </c>
      <c r="I50" t="s">
        <v>71</v>
      </c>
      <c r="J50" t="s">
        <v>126</v>
      </c>
      <c r="K50" t="s">
        <v>114</v>
      </c>
      <c r="L50" t="s">
        <v>89</v>
      </c>
      <c r="M50" t="s">
        <v>101</v>
      </c>
      <c r="N50" t="s">
        <v>36</v>
      </c>
      <c r="O50" t="s">
        <v>43</v>
      </c>
      <c r="P50" t="s">
        <v>44</v>
      </c>
      <c r="Q50">
        <v>115</v>
      </c>
      <c r="R50">
        <v>10</v>
      </c>
      <c r="S50">
        <v>117</v>
      </c>
      <c r="T50">
        <v>0</v>
      </c>
      <c r="U50" t="s">
        <v>101</v>
      </c>
      <c r="V50" t="s">
        <v>36</v>
      </c>
      <c r="W50" t="s">
        <v>45</v>
      </c>
      <c r="X50" t="s">
        <v>46</v>
      </c>
      <c r="Y50">
        <v>10</v>
      </c>
      <c r="Z50" t="s">
        <v>147</v>
      </c>
      <c r="AA50">
        <v>83</v>
      </c>
      <c r="AB50" t="s">
        <v>186</v>
      </c>
      <c r="AC50">
        <v>2</v>
      </c>
      <c r="AD50">
        <v>13</v>
      </c>
      <c r="AE50" t="s">
        <v>186</v>
      </c>
      <c r="AF50" t="s">
        <v>49</v>
      </c>
    </row>
    <row r="51" spans="1:32" x14ac:dyDescent="0.3">
      <c r="A51" t="s">
        <v>245</v>
      </c>
      <c r="B51" t="s">
        <v>246</v>
      </c>
      <c r="C51" t="s">
        <v>155</v>
      </c>
      <c r="D51" t="s">
        <v>156</v>
      </c>
      <c r="E51" t="s">
        <v>54</v>
      </c>
      <c r="F51" t="s">
        <v>83</v>
      </c>
      <c r="G51" t="s">
        <v>225</v>
      </c>
      <c r="H51" t="s">
        <v>87</v>
      </c>
      <c r="I51" t="s">
        <v>107</v>
      </c>
      <c r="J51" t="s">
        <v>39</v>
      </c>
      <c r="K51" t="s">
        <v>73</v>
      </c>
      <c r="L51" t="s">
        <v>85</v>
      </c>
      <c r="M51" t="s">
        <v>83</v>
      </c>
      <c r="N51" t="s">
        <v>54</v>
      </c>
      <c r="O51" t="s">
        <v>43</v>
      </c>
      <c r="P51" t="s">
        <v>44</v>
      </c>
      <c r="Q51">
        <v>135</v>
      </c>
      <c r="R51">
        <v>8</v>
      </c>
      <c r="S51">
        <v>124</v>
      </c>
      <c r="T51">
        <v>7</v>
      </c>
      <c r="U51" t="s">
        <v>83</v>
      </c>
      <c r="V51" t="s">
        <v>54</v>
      </c>
      <c r="W51" t="s">
        <v>231</v>
      </c>
      <c r="X51" t="s">
        <v>46</v>
      </c>
      <c r="Y51">
        <v>3</v>
      </c>
      <c r="Z51" t="s">
        <v>63</v>
      </c>
      <c r="AA51">
        <v>52</v>
      </c>
      <c r="AB51" t="s">
        <v>193</v>
      </c>
      <c r="AC51">
        <v>3</v>
      </c>
      <c r="AD51">
        <v>27</v>
      </c>
      <c r="AE51" t="s">
        <v>193</v>
      </c>
      <c r="AF51" t="s">
        <v>49</v>
      </c>
    </row>
    <row r="52" spans="1:32" x14ac:dyDescent="0.3">
      <c r="A52" t="s">
        <v>247</v>
      </c>
      <c r="B52" t="s">
        <v>246</v>
      </c>
      <c r="C52" t="s">
        <v>202</v>
      </c>
      <c r="D52" t="s">
        <v>203</v>
      </c>
      <c r="E52" t="s">
        <v>112</v>
      </c>
      <c r="F52" t="s">
        <v>122</v>
      </c>
      <c r="G52" t="s">
        <v>228</v>
      </c>
      <c r="H52" t="s">
        <v>38</v>
      </c>
      <c r="I52" t="s">
        <v>86</v>
      </c>
      <c r="J52" t="s">
        <v>58</v>
      </c>
      <c r="K52" t="s">
        <v>88</v>
      </c>
      <c r="L52" t="s">
        <v>127</v>
      </c>
      <c r="M52" t="s">
        <v>122</v>
      </c>
      <c r="N52" t="s">
        <v>112</v>
      </c>
      <c r="O52" t="s">
        <v>43</v>
      </c>
      <c r="P52" t="s">
        <v>44</v>
      </c>
      <c r="Q52">
        <v>205</v>
      </c>
      <c r="R52">
        <v>5</v>
      </c>
      <c r="S52">
        <v>181</v>
      </c>
      <c r="T52">
        <v>7</v>
      </c>
      <c r="U52" t="s">
        <v>112</v>
      </c>
      <c r="V52" t="s">
        <v>122</v>
      </c>
      <c r="W52" t="s">
        <v>45</v>
      </c>
      <c r="X52" t="s">
        <v>96</v>
      </c>
      <c r="Y52">
        <v>24</v>
      </c>
      <c r="Z52" t="s">
        <v>115</v>
      </c>
      <c r="AA52">
        <v>92</v>
      </c>
      <c r="AB52" t="s">
        <v>172</v>
      </c>
      <c r="AC52">
        <v>3</v>
      </c>
      <c r="AD52">
        <v>37</v>
      </c>
      <c r="AE52" t="s">
        <v>115</v>
      </c>
      <c r="AF52" t="s">
        <v>49</v>
      </c>
    </row>
    <row r="53" spans="1:32" x14ac:dyDescent="0.3">
      <c r="A53" t="s">
        <v>248</v>
      </c>
      <c r="B53" t="s">
        <v>249</v>
      </c>
      <c r="C53" t="s">
        <v>180</v>
      </c>
      <c r="D53" t="s">
        <v>181</v>
      </c>
      <c r="E53" t="s">
        <v>94</v>
      </c>
      <c r="F53" t="s">
        <v>140</v>
      </c>
      <c r="G53" t="s">
        <v>228</v>
      </c>
      <c r="H53" t="s">
        <v>40</v>
      </c>
      <c r="I53" t="s">
        <v>74</v>
      </c>
      <c r="J53" t="s">
        <v>60</v>
      </c>
      <c r="K53" t="s">
        <v>41</v>
      </c>
      <c r="L53" t="s">
        <v>56</v>
      </c>
      <c r="M53" t="s">
        <v>94</v>
      </c>
      <c r="N53" t="s">
        <v>140</v>
      </c>
      <c r="O53" t="s">
        <v>90</v>
      </c>
      <c r="P53" t="s">
        <v>44</v>
      </c>
      <c r="Q53">
        <v>115</v>
      </c>
      <c r="R53">
        <v>5</v>
      </c>
      <c r="S53">
        <v>105</v>
      </c>
      <c r="T53">
        <v>10</v>
      </c>
      <c r="U53" t="s">
        <v>94</v>
      </c>
      <c r="V53" t="s">
        <v>140</v>
      </c>
      <c r="W53" t="s">
        <v>231</v>
      </c>
      <c r="X53" t="s">
        <v>96</v>
      </c>
      <c r="Y53">
        <v>8</v>
      </c>
      <c r="Z53" t="s">
        <v>250</v>
      </c>
      <c r="AA53">
        <v>54</v>
      </c>
      <c r="AB53" t="s">
        <v>138</v>
      </c>
      <c r="AC53">
        <v>4</v>
      </c>
      <c r="AD53">
        <v>23</v>
      </c>
      <c r="AE53" t="s">
        <v>251</v>
      </c>
      <c r="AF53" t="s">
        <v>49</v>
      </c>
    </row>
    <row r="54" spans="1:32" x14ac:dyDescent="0.3">
      <c r="A54" t="s">
        <v>252</v>
      </c>
      <c r="B54" t="s">
        <v>253</v>
      </c>
      <c r="C54" t="s">
        <v>175</v>
      </c>
      <c r="D54" t="s">
        <v>176</v>
      </c>
      <c r="E54" t="s">
        <v>94</v>
      </c>
      <c r="F54" t="s">
        <v>83</v>
      </c>
      <c r="G54" t="s">
        <v>254</v>
      </c>
      <c r="H54" t="s">
        <v>74</v>
      </c>
      <c r="I54" t="s">
        <v>38</v>
      </c>
      <c r="J54" t="s">
        <v>60</v>
      </c>
      <c r="K54" t="s">
        <v>41</v>
      </c>
      <c r="L54" t="s">
        <v>86</v>
      </c>
      <c r="M54" t="s">
        <v>94</v>
      </c>
      <c r="N54" t="s">
        <v>83</v>
      </c>
      <c r="O54" t="s">
        <v>90</v>
      </c>
      <c r="P54" t="s">
        <v>44</v>
      </c>
      <c r="Q54">
        <v>56</v>
      </c>
      <c r="R54">
        <v>10</v>
      </c>
      <c r="S54">
        <v>60</v>
      </c>
      <c r="T54">
        <v>1</v>
      </c>
      <c r="U54" t="s">
        <v>83</v>
      </c>
      <c r="V54" t="s">
        <v>94</v>
      </c>
      <c r="W54" t="s">
        <v>45</v>
      </c>
      <c r="X54" t="s">
        <v>46</v>
      </c>
      <c r="Y54">
        <v>9</v>
      </c>
      <c r="Z54" t="s">
        <v>192</v>
      </c>
      <c r="AA54">
        <v>29</v>
      </c>
      <c r="AB54" t="s">
        <v>255</v>
      </c>
      <c r="AC54">
        <v>3</v>
      </c>
      <c r="AD54">
        <v>16</v>
      </c>
      <c r="AE54" t="s">
        <v>255</v>
      </c>
      <c r="AF54" t="s">
        <v>49</v>
      </c>
    </row>
    <row r="55" spans="1:32" x14ac:dyDescent="0.3">
      <c r="A55" t="s">
        <v>256</v>
      </c>
      <c r="B55" t="s">
        <v>253</v>
      </c>
      <c r="C55" t="s">
        <v>51</v>
      </c>
      <c r="D55" t="s">
        <v>52</v>
      </c>
      <c r="E55" t="s">
        <v>112</v>
      </c>
      <c r="F55" t="s">
        <v>101</v>
      </c>
      <c r="G55" t="s">
        <v>257</v>
      </c>
      <c r="H55" t="s">
        <v>113</v>
      </c>
      <c r="I55" t="s">
        <v>107</v>
      </c>
      <c r="J55" t="s">
        <v>89</v>
      </c>
      <c r="K55" t="s">
        <v>88</v>
      </c>
      <c r="L55" t="s">
        <v>71</v>
      </c>
      <c r="M55" t="s">
        <v>101</v>
      </c>
      <c r="N55" t="s">
        <v>112</v>
      </c>
      <c r="O55" t="s">
        <v>43</v>
      </c>
      <c r="P55" t="s">
        <v>44</v>
      </c>
      <c r="Q55">
        <v>141</v>
      </c>
      <c r="R55">
        <v>7</v>
      </c>
      <c r="S55">
        <v>103</v>
      </c>
      <c r="T55">
        <v>10</v>
      </c>
      <c r="U55" t="s">
        <v>112</v>
      </c>
      <c r="V55" t="s">
        <v>101</v>
      </c>
      <c r="W55" t="s">
        <v>45</v>
      </c>
      <c r="X55" t="s">
        <v>96</v>
      </c>
      <c r="Y55">
        <v>68</v>
      </c>
      <c r="Z55" t="s">
        <v>115</v>
      </c>
      <c r="AA55">
        <v>57</v>
      </c>
      <c r="AB55" t="s">
        <v>258</v>
      </c>
      <c r="AC55">
        <v>3</v>
      </c>
      <c r="AD55">
        <v>23</v>
      </c>
      <c r="AE55" t="s">
        <v>258</v>
      </c>
      <c r="AF55" t="s">
        <v>49</v>
      </c>
    </row>
    <row r="56" spans="1:32" x14ac:dyDescent="0.3">
      <c r="A56" t="s">
        <v>259</v>
      </c>
      <c r="B56" t="s">
        <v>260</v>
      </c>
      <c r="C56" t="s">
        <v>65</v>
      </c>
      <c r="D56" t="s">
        <v>66</v>
      </c>
      <c r="E56" t="s">
        <v>112</v>
      </c>
      <c r="F56" t="s">
        <v>83</v>
      </c>
      <c r="G56" t="s">
        <v>261</v>
      </c>
      <c r="H56" t="s">
        <v>113</v>
      </c>
      <c r="I56" t="s">
        <v>38</v>
      </c>
      <c r="J56" t="s">
        <v>107</v>
      </c>
      <c r="K56" t="s">
        <v>41</v>
      </c>
      <c r="L56" t="s">
        <v>86</v>
      </c>
      <c r="M56" t="s">
        <v>112</v>
      </c>
      <c r="N56" t="s">
        <v>83</v>
      </c>
      <c r="O56" t="s">
        <v>90</v>
      </c>
      <c r="P56" t="s">
        <v>44</v>
      </c>
      <c r="Q56">
        <v>176</v>
      </c>
      <c r="R56">
        <v>7</v>
      </c>
      <c r="S56">
        <v>169</v>
      </c>
      <c r="T56">
        <v>8</v>
      </c>
      <c r="U56" t="s">
        <v>112</v>
      </c>
      <c r="V56" t="s">
        <v>83</v>
      </c>
      <c r="W56" t="s">
        <v>45</v>
      </c>
      <c r="X56" t="s">
        <v>96</v>
      </c>
      <c r="Y56">
        <v>7</v>
      </c>
      <c r="Z56" t="s">
        <v>262</v>
      </c>
      <c r="AA56">
        <v>76</v>
      </c>
      <c r="AB56" t="s">
        <v>240</v>
      </c>
      <c r="AC56">
        <v>3</v>
      </c>
      <c r="AD56">
        <v>20</v>
      </c>
      <c r="AE56" t="s">
        <v>262</v>
      </c>
      <c r="AF56" t="s">
        <v>49</v>
      </c>
    </row>
    <row r="58" spans="1:32" x14ac:dyDescent="0.3">
      <c r="Q58">
        <f>AVERAGE(Q2:Q56)</f>
        <v>127.30909090909091</v>
      </c>
      <c r="R58">
        <f>AVERAGE(R2:R56)</f>
        <v>6.9818181818181815</v>
      </c>
      <c r="S58">
        <f>AVERAGE(S1:S56)</f>
        <v>108.56363636363636</v>
      </c>
      <c r="T58">
        <f>AVERAGE(T2:T56)</f>
        <v>5.3818181818181818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CAF9F-8F36-4595-9153-82D687204030}">
  <dimension ref="A4:J80"/>
  <sheetViews>
    <sheetView topLeftCell="A31" workbookViewId="0">
      <selection activeCell="I60" sqref="I60"/>
    </sheetView>
  </sheetViews>
  <sheetFormatPr defaultRowHeight="14.4" x14ac:dyDescent="0.3"/>
  <cols>
    <col min="2" max="2" width="27.21875" customWidth="1"/>
    <col min="3" max="3" width="16.33203125" customWidth="1"/>
    <col min="4" max="4" width="47.33203125" customWidth="1"/>
    <col min="5" max="5" width="24.77734375" customWidth="1"/>
    <col min="6" max="6" width="22.5546875" customWidth="1"/>
    <col min="7" max="7" width="18.5546875" customWidth="1"/>
    <col min="8" max="8" width="22.33203125" customWidth="1"/>
    <col min="9" max="9" width="30" customWidth="1"/>
    <col min="10" max="10" width="30.21875" customWidth="1"/>
  </cols>
  <sheetData>
    <row r="4" spans="1:10" s="3" customFormat="1" x14ac:dyDescent="0.3">
      <c r="B4" s="3" t="s">
        <v>263</v>
      </c>
      <c r="C4" s="3" t="s">
        <v>266</v>
      </c>
      <c r="D4" s="3" t="s">
        <v>267</v>
      </c>
      <c r="E4" s="3" t="s">
        <v>264</v>
      </c>
      <c r="F4" s="3" t="s">
        <v>265</v>
      </c>
      <c r="G4" s="3" t="s">
        <v>276</v>
      </c>
      <c r="H4" s="3" t="s">
        <v>277</v>
      </c>
      <c r="I4" s="3" t="s">
        <v>282</v>
      </c>
      <c r="J4" s="3" t="s">
        <v>281</v>
      </c>
    </row>
    <row r="6" spans="1:10" x14ac:dyDescent="0.3">
      <c r="A6">
        <v>1</v>
      </c>
      <c r="B6" t="b">
        <f>('ICC Mens T20 Worldcup'!M2)=('ICC Mens T20 Worldcup'!U2)</f>
        <v>1</v>
      </c>
      <c r="C6">
        <f>'ICC Mens T20 Worldcup'!Q58</f>
        <v>127.30909090909091</v>
      </c>
      <c r="D6">
        <f>'ICC Mens T20 Worldcup'!S58</f>
        <v>108.56363636363636</v>
      </c>
      <c r="E6">
        <f>'ICC Mens T20 Worldcup'!R58</f>
        <v>6.9818181818181815</v>
      </c>
      <c r="F6">
        <f>'ICC Mens T20 Worldcup'!T58</f>
        <v>5.3818181818181818</v>
      </c>
      <c r="G6">
        <f>COUNTIF(B6:B61,F12)</f>
        <v>32</v>
      </c>
      <c r="H6">
        <f>COUNTIF(B6:B61,G12)</f>
        <v>24</v>
      </c>
      <c r="I6">
        <f>COUNTIF('ICC Mens T20 Worldcup'!O2:O56,Dashboard!D13)</f>
        <v>10</v>
      </c>
      <c r="J6">
        <f>COUNTIF('ICC Mens T20 Worldcup'!O2:O56,Dashboard!D14)</f>
        <v>42</v>
      </c>
    </row>
    <row r="7" spans="1:10" x14ac:dyDescent="0.3">
      <c r="A7">
        <v>2</v>
      </c>
      <c r="B7" t="b">
        <f>('ICC Mens T20 Worldcup'!M3)=('ICC Mens T20 Worldcup'!U3)</f>
        <v>1</v>
      </c>
    </row>
    <row r="8" spans="1:10" x14ac:dyDescent="0.3">
      <c r="A8">
        <v>3</v>
      </c>
      <c r="B8" t="b">
        <f>('ICC Mens T20 Worldcup'!M4)=('ICC Mens T20 Worldcup'!U4)</f>
        <v>1</v>
      </c>
    </row>
    <row r="9" spans="1:10" x14ac:dyDescent="0.3">
      <c r="A9">
        <v>4</v>
      </c>
      <c r="B9" t="b">
        <f>('ICC Mens T20 Worldcup'!M5)=('ICC Mens T20 Worldcup'!U5)</f>
        <v>0</v>
      </c>
    </row>
    <row r="10" spans="1:10" x14ac:dyDescent="0.3">
      <c r="A10">
        <v>5</v>
      </c>
      <c r="B10" t="b">
        <f>('ICC Mens T20 Worldcup'!M6)=('ICC Mens T20 Worldcup'!U6)</f>
        <v>0</v>
      </c>
    </row>
    <row r="11" spans="1:10" x14ac:dyDescent="0.3">
      <c r="A11">
        <v>6</v>
      </c>
      <c r="B11" t="b">
        <f>('ICC Mens T20 Worldcup'!M7)=('ICC Mens T20 Worldcup'!U7)</f>
        <v>0</v>
      </c>
    </row>
    <row r="12" spans="1:10" x14ac:dyDescent="0.3">
      <c r="A12">
        <v>7</v>
      </c>
      <c r="B12" t="b">
        <f>('ICC Mens T20 Worldcup'!M8)=('ICC Mens T20 Worldcup'!U8)</f>
        <v>1</v>
      </c>
      <c r="D12" s="2" t="s">
        <v>14</v>
      </c>
      <c r="E12" s="2" t="s">
        <v>278</v>
      </c>
      <c r="F12" t="b">
        <v>1</v>
      </c>
      <c r="G12" t="b">
        <v>0</v>
      </c>
    </row>
    <row r="13" spans="1:10" x14ac:dyDescent="0.3">
      <c r="A13">
        <v>8</v>
      </c>
      <c r="B13" t="b">
        <f>('ICC Mens T20 Worldcup'!M9)=('ICC Mens T20 Worldcup'!U9)</f>
        <v>1</v>
      </c>
      <c r="D13" t="s">
        <v>90</v>
      </c>
      <c r="E13" t="s">
        <v>279</v>
      </c>
    </row>
    <row r="14" spans="1:10" x14ac:dyDescent="0.3">
      <c r="A14">
        <v>9</v>
      </c>
      <c r="B14" t="b">
        <f>('ICC Mens T20 Worldcup'!M10)=('ICC Mens T20 Worldcup'!U10)</f>
        <v>1</v>
      </c>
      <c r="D14" t="s">
        <v>43</v>
      </c>
      <c r="E14" t="s">
        <v>280</v>
      </c>
    </row>
    <row r="15" spans="1:10" x14ac:dyDescent="0.3">
      <c r="A15">
        <v>10</v>
      </c>
      <c r="B15" t="b">
        <f>('ICC Mens T20 Worldcup'!M11)=('ICC Mens T20 Worldcup'!U11)</f>
        <v>0</v>
      </c>
      <c r="F15" t="s">
        <v>268</v>
      </c>
    </row>
    <row r="16" spans="1:10" x14ac:dyDescent="0.3">
      <c r="A16">
        <v>11</v>
      </c>
      <c r="B16" t="b">
        <f>('ICC Mens T20 Worldcup'!M12)=('ICC Mens T20 Worldcup'!U12)</f>
        <v>1</v>
      </c>
    </row>
    <row r="17" spans="1:10" x14ac:dyDescent="0.3">
      <c r="A17">
        <v>12</v>
      </c>
      <c r="B17" t="b">
        <f>('ICC Mens T20 Worldcup'!M13)=('ICC Mens T20 Worldcup'!U13)</f>
        <v>0</v>
      </c>
    </row>
    <row r="18" spans="1:10" x14ac:dyDescent="0.3">
      <c r="A18">
        <v>13</v>
      </c>
      <c r="B18" t="b">
        <f>('ICC Mens T20 Worldcup'!M14)=('ICC Mens T20 Worldcup'!U14)</f>
        <v>0</v>
      </c>
    </row>
    <row r="19" spans="1:10" x14ac:dyDescent="0.3">
      <c r="A19">
        <v>14</v>
      </c>
      <c r="B19" t="b">
        <f>('ICC Mens T20 Worldcup'!M15)=('ICC Mens T20 Worldcup'!U15)</f>
        <v>0</v>
      </c>
      <c r="D19" s="2" t="s">
        <v>2</v>
      </c>
      <c r="E19" s="2" t="s">
        <v>271</v>
      </c>
      <c r="F19" s="2" t="s">
        <v>272</v>
      </c>
      <c r="G19" s="2" t="s">
        <v>273</v>
      </c>
      <c r="H19" s="2" t="s">
        <v>274</v>
      </c>
      <c r="I19" s="2" t="s">
        <v>275</v>
      </c>
      <c r="J19" s="2" t="s">
        <v>275</v>
      </c>
    </row>
    <row r="20" spans="1:10" x14ac:dyDescent="0.3">
      <c r="A20">
        <v>15</v>
      </c>
      <c r="B20" t="b">
        <f>('ICC Mens T20 Worldcup'!M16)=('ICC Mens T20 Worldcup'!U16)</f>
        <v>1</v>
      </c>
      <c r="C20">
        <v>1</v>
      </c>
      <c r="D20" t="str">
        <f>'ICC Mens T20 Worldcup'!C2</f>
        <v>Grand Prairie Stadium</v>
      </c>
      <c r="E20">
        <f>_xlfn.XLOOKUP(D20,'ICC Mens T20 Worldcup'!C2:C56,'ICC Mens T20 Worldcup'!Q2:Q56)</f>
        <v>194</v>
      </c>
      <c r="F20">
        <f>COUNTIF('ICC Mens T20 Worldcup'!C2:C56,Dashboard!D20)</f>
        <v>4</v>
      </c>
      <c r="G20">
        <f>AVERAGEIF('ICC Mens T20 Worldcup'!C2:C56,Dashboard!D20,'ICC Mens T20 Worldcup'!Q2:Q56)</f>
        <v>145.75</v>
      </c>
      <c r="H20">
        <f>AVERAGEIF('ICC Mens T20 Worldcup'!C2:C56,Dashboard!D20,'ICC Mens T20 Worldcup'!S2:S56)</f>
        <v>147.75</v>
      </c>
      <c r="I20">
        <f>AVERAGEIF('ICC Mens T20 Worldcup'!C2:C56,Dashboard!D20,'ICC Mens T20 Worldcup'!R2:R56)</f>
        <v>7.75</v>
      </c>
      <c r="J20">
        <f>AVERAGEIF('ICC Mens T20 Worldcup'!C2:C56,Dashboard!D20,'ICC Mens T20 Worldcup'!T2:T56)</f>
        <v>4.5</v>
      </c>
    </row>
    <row r="21" spans="1:10" x14ac:dyDescent="0.3">
      <c r="A21">
        <v>16</v>
      </c>
      <c r="B21" t="b">
        <f>('ICC Mens T20 Worldcup'!M17)=('ICC Mens T20 Worldcup'!U17)</f>
        <v>1</v>
      </c>
      <c r="C21">
        <v>2</v>
      </c>
      <c r="D21" t="str">
        <f>'ICC Mens T20 Worldcup'!C3</f>
        <v>Providence Stadium</v>
      </c>
      <c r="E21">
        <f>_xlfn.XLOOKUP(D21,'ICC Mens T20 Worldcup'!C3:C57,'ICC Mens T20 Worldcup'!Q3:Q57)</f>
        <v>136</v>
      </c>
      <c r="F21">
        <f>COUNTIF('ICC Mens T20 Worldcup'!C3:C57,Dashboard!D21)</f>
        <v>6</v>
      </c>
      <c r="G21">
        <f>AVERAGEIF('ICC Mens T20 Worldcup'!C3:C57,Dashboard!D21,'ICC Mens T20 Worldcup'!Q3:Q57)</f>
        <v>144.83333333333334</v>
      </c>
      <c r="H21">
        <f>AVERAGEIF('ICC Mens T20 Worldcup'!C3:C57,Dashboard!D21,'ICC Mens T20 Worldcup'!S3:S57)</f>
        <v>81.666666666666671</v>
      </c>
      <c r="I21">
        <f>AVERAGEIF('ICC Mens T20 Worldcup'!C3:C57,Dashboard!D21,'ICC Mens T20 Worldcup'!R3:R57)</f>
        <v>6.833333333333333</v>
      </c>
      <c r="J21">
        <f>AVERAGEIF('ICC Mens T20 Worldcup'!C3:C57,Dashboard!D21,'ICC Mens T20 Worldcup'!T3:T57)</f>
        <v>8.8333333333333339</v>
      </c>
    </row>
    <row r="22" spans="1:10" x14ac:dyDescent="0.3">
      <c r="A22">
        <v>17</v>
      </c>
      <c r="B22" t="b">
        <f>('ICC Mens T20 Worldcup'!M18)=('ICC Mens T20 Worldcup'!U18)</f>
        <v>0</v>
      </c>
      <c r="C22">
        <v>3</v>
      </c>
      <c r="D22" t="str">
        <f>'ICC Mens T20 Worldcup'!C4</f>
        <v>Kensington Oval</v>
      </c>
      <c r="E22">
        <f>_xlfn.XLOOKUP(D22,'ICC Mens T20 Worldcup'!C4:C58,'ICC Mens T20 Worldcup'!Q4:Q58)</f>
        <v>109</v>
      </c>
      <c r="F22">
        <f>COUNTIF('ICC Mens T20 Worldcup'!C4:C58,Dashboard!D22)</f>
        <v>9</v>
      </c>
      <c r="G22">
        <f>AVERAGEIF('ICC Mens T20 Worldcup'!C4:C58,Dashboard!D22,'ICC Mens T20 Worldcup'!Q4:Q58)</f>
        <v>146.55555555555554</v>
      </c>
      <c r="H22">
        <f>AVERAGEIF('ICC Mens T20 Worldcup'!C4:C58,Dashboard!D22,'ICC Mens T20 Worldcup'!S4:S58)</f>
        <v>122.88888888888889</v>
      </c>
      <c r="I22">
        <f>AVERAGEIF('ICC Mens T20 Worldcup'!C4:C58,Dashboard!D22,'ICC Mens T20 Worldcup'!R4:R58)</f>
        <v>7.333333333333333</v>
      </c>
      <c r="J22">
        <f>AVERAGEIF('ICC Mens T20 Worldcup'!C4:C58,Dashboard!D22,'ICC Mens T20 Worldcup'!T4:T58)</f>
        <v>5</v>
      </c>
    </row>
    <row r="23" spans="1:10" x14ac:dyDescent="0.3">
      <c r="A23">
        <v>18</v>
      </c>
      <c r="B23" t="b">
        <f>('ICC Mens T20 Worldcup'!M19)=('ICC Mens T20 Worldcup'!U19)</f>
        <v>1</v>
      </c>
      <c r="C23">
        <v>4</v>
      </c>
      <c r="D23" t="str">
        <f>'ICC Mens T20 Worldcup'!C5</f>
        <v>Nassau County International Cricket Stadium</v>
      </c>
      <c r="E23">
        <f>_xlfn.XLOOKUP(D23,'ICC Mens T20 Worldcup'!C5:C59,'ICC Mens T20 Worldcup'!Q5:Q59)</f>
        <v>77</v>
      </c>
      <c r="F23">
        <f>COUNTIF('ICC Mens T20 Worldcup'!C5:C59,Dashboard!D23)</f>
        <v>8</v>
      </c>
      <c r="G23">
        <f>AVERAGEIF('ICC Mens T20 Worldcup'!C5:C59,Dashboard!D23,'ICC Mens T20 Worldcup'!Q5:Q59)</f>
        <v>107.625</v>
      </c>
      <c r="H23">
        <f>AVERAGEIF('ICC Mens T20 Worldcup'!C5:C59,Dashboard!D23,'ICC Mens T20 Worldcup'!S5:S59)</f>
        <v>106</v>
      </c>
      <c r="I23">
        <f>AVERAGEIF('ICC Mens T20 Worldcup'!C5:C59,Dashboard!D23,'ICC Mens T20 Worldcup'!R5:R59)</f>
        <v>8.375</v>
      </c>
      <c r="J23">
        <f>AVERAGEIF('ICC Mens T20 Worldcup'!C5:C59,Dashboard!D23,'ICC Mens T20 Worldcup'!T5:T59)</f>
        <v>4.875</v>
      </c>
    </row>
    <row r="24" spans="1:10" x14ac:dyDescent="0.3">
      <c r="A24">
        <v>19</v>
      </c>
      <c r="B24" t="b">
        <f>('ICC Mens T20 Worldcup'!M20)=('ICC Mens T20 Worldcup'!U20)</f>
        <v>0</v>
      </c>
      <c r="C24">
        <v>5</v>
      </c>
      <c r="D24" t="str">
        <f>'ICC Mens T20 Worldcup'!C21</f>
        <v>Sir Vivian Richards Stadium</v>
      </c>
      <c r="E24">
        <f>_xlfn.XLOOKUP(D24,'ICC Mens T20 Worldcup'!C6:C60,'ICC Mens T20 Worldcup'!Q6:Q60)</f>
        <v>150</v>
      </c>
      <c r="F24">
        <f>COUNTIF('ICC Mens T20 Worldcup'!C6:C60,Dashboard!D24)</f>
        <v>8</v>
      </c>
      <c r="G24">
        <f>AVERAGEIF('ICC Mens T20 Worldcup'!C6:C60,Dashboard!D24,'ICC Mens T20 Worldcup'!Q6:Q60)</f>
        <v>132</v>
      </c>
      <c r="H24">
        <f>AVERAGEIF('ICC Mens T20 Worldcup'!C6:C60,Dashboard!D24,'ICC Mens T20 Worldcup'!S6:S60)</f>
        <v>113.375</v>
      </c>
      <c r="I24">
        <f>AVERAGEIF('ICC Mens T20 Worldcup'!C6:C60,Dashboard!D24,'ICC Mens T20 Worldcup'!R6:R60)</f>
        <v>7.125</v>
      </c>
      <c r="J24">
        <f>AVERAGEIF('ICC Mens T20 Worldcup'!C6:C60,Dashboard!D24,'ICC Mens T20 Worldcup'!T6:T60)</f>
        <v>4</v>
      </c>
    </row>
    <row r="25" spans="1:10" x14ac:dyDescent="0.3">
      <c r="A25">
        <v>20</v>
      </c>
      <c r="B25" t="b">
        <f>('ICC Mens T20 Worldcup'!M21)=('ICC Mens T20 Worldcup'!U21)</f>
        <v>0</v>
      </c>
      <c r="C25">
        <v>6</v>
      </c>
      <c r="D25" t="str">
        <f>'ICC Mens T20 Worldcup'!C24</f>
        <v>Central Broward Regional Park Stadium Turf Ground</v>
      </c>
      <c r="E25">
        <f>_xlfn.XLOOKUP(D25,'ICC Mens T20 Worldcup'!C7:C61,'ICC Mens T20 Worldcup'!Q7:Q61)</f>
        <v>0</v>
      </c>
      <c r="F25">
        <f>COUNTIF('ICC Mens T20 Worldcup'!C7:C61,Dashboard!D25)</f>
        <v>4</v>
      </c>
      <c r="G25">
        <f>AVERAGEIF('ICC Mens T20 Worldcup'!C7:C61,Dashboard!D25,'ICC Mens T20 Worldcup'!Q7:Q61)</f>
        <v>26.5</v>
      </c>
      <c r="H25">
        <f>AVERAGEIF('ICC Mens T20 Worldcup'!C7:C61,Dashboard!D25,'ICC Mens T20 Worldcup'!S7:S61)</f>
        <v>27.75</v>
      </c>
      <c r="I25">
        <f>AVERAGEIF('ICC Mens T20 Worldcup'!C7:C61,Dashboard!D25,'ICC Mens T20 Worldcup'!R7:R61)</f>
        <v>2.25</v>
      </c>
      <c r="J25">
        <f>AVERAGEIF('ICC Mens T20 Worldcup'!C7:C61,Dashboard!D25,'ICC Mens T20 Worldcup'!T7:T61)</f>
        <v>1.75</v>
      </c>
    </row>
    <row r="26" spans="1:10" x14ac:dyDescent="0.3">
      <c r="A26">
        <v>21</v>
      </c>
      <c r="B26" t="b">
        <f>('ICC Mens T20 Worldcup'!M22)=('ICC Mens T20 Worldcup'!U22)</f>
        <v>1</v>
      </c>
      <c r="C26">
        <v>7</v>
      </c>
      <c r="D26" t="str">
        <f>'ICC Mens T20 Worldcup'!C27</f>
        <v>Brian Lara Stadium</v>
      </c>
      <c r="E26">
        <f>_xlfn.XLOOKUP(D26,'ICC Mens T20 Worldcup'!C8:C62,'ICC Mens T20 Worldcup'!Q8:Q62)</f>
        <v>149</v>
      </c>
      <c r="F26">
        <f>COUNTIF('ICC Mens T20 Worldcup'!C8:C62,Dashboard!D26)</f>
        <v>5</v>
      </c>
      <c r="G26">
        <f>AVERAGEIF('ICC Mens T20 Worldcup'!C8:C62,Dashboard!D26,'ICC Mens T20 Worldcup'!Q8:Q62)</f>
        <v>83.6</v>
      </c>
      <c r="H26">
        <f>AVERAGEIF('ICC Mens T20 Worldcup'!C8:C62,Dashboard!D26,'ICC Mens T20 Worldcup'!S8:S62)</f>
        <v>83.4</v>
      </c>
      <c r="I26">
        <f>AVERAGEIF('ICC Mens T20 Worldcup'!C8:C62,Dashboard!D26,'ICC Mens T20 Worldcup'!R8:R62)</f>
        <v>9.8000000000000007</v>
      </c>
      <c r="J26">
        <f>AVERAGEIF('ICC Mens T20 Worldcup'!C8:C62,Dashboard!D26,'ICC Mens T20 Worldcup'!T8:T62)</f>
        <v>3.4</v>
      </c>
    </row>
    <row r="27" spans="1:10" x14ac:dyDescent="0.3">
      <c r="A27">
        <v>22</v>
      </c>
      <c r="B27" t="b">
        <f>('ICC Mens T20 Worldcup'!M23)=('ICC Mens T20 Worldcup'!U23)</f>
        <v>1</v>
      </c>
      <c r="C27">
        <v>8</v>
      </c>
      <c r="D27" t="str">
        <f>'ICC Mens T20 Worldcup'!C28</f>
        <v>Arnos Vale Ground</v>
      </c>
      <c r="E27">
        <f>_xlfn.XLOOKUP(D27,'ICC Mens T20 Worldcup'!C9:C63,'ICC Mens T20 Worldcup'!Q9:Q63)</f>
        <v>159</v>
      </c>
      <c r="F27">
        <f>COUNTIF('ICC Mens T20 Worldcup'!C9:C63,Dashboard!D27)</f>
        <v>5</v>
      </c>
      <c r="G27">
        <f>AVERAGEIF('ICC Mens T20 Worldcup'!C9:C63,Dashboard!D27,'ICC Mens T20 Worldcup'!Q9:Q63)</f>
        <v>128.6</v>
      </c>
      <c r="H27">
        <f>AVERAGEIF('ICC Mens T20 Worldcup'!C9:C63,Dashboard!D27,'ICC Mens T20 Worldcup'!S9:S63)</f>
        <v>113</v>
      </c>
      <c r="I27">
        <f>AVERAGEIF('ICC Mens T20 Worldcup'!C9:C63,Dashboard!D27,'ICC Mens T20 Worldcup'!R9:R63)</f>
        <v>6.6</v>
      </c>
      <c r="J27">
        <f>AVERAGEIF('ICC Mens T20 Worldcup'!C9:C63,Dashboard!D27,'ICC Mens T20 Worldcup'!T9:T63)</f>
        <v>9</v>
      </c>
    </row>
    <row r="28" spans="1:10" x14ac:dyDescent="0.3">
      <c r="A28">
        <v>23</v>
      </c>
      <c r="B28" t="b">
        <f>('ICC Mens T20 Worldcup'!M24)=('ICC Mens T20 Worldcup'!U24)</f>
        <v>1</v>
      </c>
      <c r="C28">
        <v>9</v>
      </c>
      <c r="D28" t="str">
        <f>'ICC Mens T20 Worldcup'!C36</f>
        <v>Daren Sammy National Cricket Stadium</v>
      </c>
      <c r="E28">
        <f>_xlfn.XLOOKUP(D28,'ICC Mens T20 Worldcup'!C10:C64,'ICC Mens T20 Worldcup'!Q10:Q64)</f>
        <v>180</v>
      </c>
      <c r="F28">
        <f>COUNTIF('ICC Mens T20 Worldcup'!C10:C64,Dashboard!D28)</f>
        <v>6</v>
      </c>
      <c r="G28">
        <f>AVERAGEIF('ICC Mens T20 Worldcup'!C10:C64,Dashboard!D28,'ICC Mens T20 Worldcup'!Q10:Q64)</f>
        <v>191.16666666666666</v>
      </c>
      <c r="H28">
        <f>AVERAGEIF('ICC Mens T20 Worldcup'!C10:C64,Dashboard!D28,'ICC Mens T20 Worldcup'!S10:S64)</f>
        <v>156</v>
      </c>
      <c r="I28">
        <f>AVERAGEIF('ICC Mens T20 Worldcup'!C10:C64,Dashboard!D28,'ICC Mens T20 Worldcup'!R10:R64)</f>
        <v>5.166666666666667</v>
      </c>
      <c r="J28">
        <f>AVERAGEIF('ICC Mens T20 Worldcup'!C10:C64,Dashboard!D28,'ICC Mens T20 Worldcup'!T10:T64)</f>
        <v>6.666666666666667</v>
      </c>
    </row>
    <row r="29" spans="1:10" x14ac:dyDescent="0.3">
      <c r="A29">
        <v>24</v>
      </c>
      <c r="B29" t="b">
        <f>('ICC Mens T20 Worldcup'!M25)=('ICC Mens T20 Worldcup'!U25)</f>
        <v>1</v>
      </c>
    </row>
    <row r="30" spans="1:10" x14ac:dyDescent="0.3">
      <c r="A30">
        <v>25</v>
      </c>
      <c r="B30" t="b">
        <f>('ICC Mens T20 Worldcup'!M26)=('ICC Mens T20 Worldcup'!U26)</f>
        <v>1</v>
      </c>
      <c r="F30">
        <f>SUM(F20:F29)</f>
        <v>55</v>
      </c>
      <c r="G30">
        <f>AVERAGE(G20:G28)</f>
        <v>122.95895061728396</v>
      </c>
      <c r="H30">
        <f>AVERAGE(H20:H28)</f>
        <v>105.75895061728394</v>
      </c>
      <c r="I30">
        <f>AVERAGE(I20:I28)</f>
        <v>6.8037037037037038</v>
      </c>
      <c r="J30">
        <f>AVERAGE(J20:J28)</f>
        <v>5.3361111111111112</v>
      </c>
    </row>
    <row r="31" spans="1:10" x14ac:dyDescent="0.3">
      <c r="A31">
        <v>26</v>
      </c>
      <c r="B31" t="b">
        <f>('ICC Mens T20 Worldcup'!M27)=('ICC Mens T20 Worldcup'!U27)</f>
        <v>0</v>
      </c>
    </row>
    <row r="32" spans="1:10" x14ac:dyDescent="0.3">
      <c r="A32">
        <v>27</v>
      </c>
      <c r="B32" t="b">
        <f>('ICC Mens T20 Worldcup'!M28)=('ICC Mens T20 Worldcup'!U28)</f>
        <v>0</v>
      </c>
    </row>
    <row r="33" spans="1:2" x14ac:dyDescent="0.3">
      <c r="A33">
        <v>28</v>
      </c>
      <c r="B33" t="b">
        <f>('ICC Mens T20 Worldcup'!M29)=('ICC Mens T20 Worldcup'!U29)</f>
        <v>1</v>
      </c>
    </row>
    <row r="34" spans="1:2" x14ac:dyDescent="0.3">
      <c r="A34">
        <v>29</v>
      </c>
      <c r="B34" t="b">
        <f>('ICC Mens T20 Worldcup'!M30)=('ICC Mens T20 Worldcup'!U30)</f>
        <v>1</v>
      </c>
    </row>
    <row r="35" spans="1:2" x14ac:dyDescent="0.3">
      <c r="A35">
        <v>30</v>
      </c>
      <c r="B35" t="b">
        <f>('ICC Mens T20 Worldcup'!M31)=('ICC Mens T20 Worldcup'!U31)</f>
        <v>1</v>
      </c>
    </row>
    <row r="36" spans="1:2" x14ac:dyDescent="0.3">
      <c r="A36">
        <v>31</v>
      </c>
      <c r="B36" t="b">
        <f>('ICC Mens T20 Worldcup'!M32)=('ICC Mens T20 Worldcup'!U32)</f>
        <v>0</v>
      </c>
    </row>
    <row r="37" spans="1:2" x14ac:dyDescent="0.3">
      <c r="A37">
        <v>32</v>
      </c>
      <c r="B37" t="b">
        <f>('ICC Mens T20 Worldcup'!M33)=('ICC Mens T20 Worldcup'!U33)</f>
        <v>1</v>
      </c>
    </row>
    <row r="38" spans="1:2" x14ac:dyDescent="0.3">
      <c r="A38">
        <v>33</v>
      </c>
      <c r="B38" t="b">
        <f>('ICC Mens T20 Worldcup'!M34)=('ICC Mens T20 Worldcup'!U34)</f>
        <v>1</v>
      </c>
    </row>
    <row r="39" spans="1:2" x14ac:dyDescent="0.3">
      <c r="A39">
        <v>34</v>
      </c>
      <c r="B39" t="b">
        <f>('ICC Mens T20 Worldcup'!M35)=('ICC Mens T20 Worldcup'!U35)</f>
        <v>0</v>
      </c>
    </row>
    <row r="40" spans="1:2" x14ac:dyDescent="0.3">
      <c r="A40">
        <v>35</v>
      </c>
      <c r="B40" t="b">
        <f>('ICC Mens T20 Worldcup'!M36)=('ICC Mens T20 Worldcup'!U36)</f>
        <v>1</v>
      </c>
    </row>
    <row r="41" spans="1:2" x14ac:dyDescent="0.3">
      <c r="A41">
        <v>36</v>
      </c>
      <c r="B41" t="b">
        <f>('ICC Mens T20 Worldcup'!M37)=('ICC Mens T20 Worldcup'!U37)</f>
        <v>1</v>
      </c>
    </row>
    <row r="42" spans="1:2" x14ac:dyDescent="0.3">
      <c r="A42">
        <v>37</v>
      </c>
      <c r="B42" t="b">
        <f>('ICC Mens T20 Worldcup'!M38)=('ICC Mens T20 Worldcup'!U38)</f>
        <v>0</v>
      </c>
    </row>
    <row r="43" spans="1:2" x14ac:dyDescent="0.3">
      <c r="A43">
        <v>38</v>
      </c>
      <c r="B43" t="b">
        <f>('ICC Mens T20 Worldcup'!M39)=('ICC Mens T20 Worldcup'!U39)</f>
        <v>0</v>
      </c>
    </row>
    <row r="44" spans="1:2" x14ac:dyDescent="0.3">
      <c r="A44">
        <v>39</v>
      </c>
      <c r="B44" t="b">
        <f>('ICC Mens T20 Worldcup'!M40)=('ICC Mens T20 Worldcup'!U40)</f>
        <v>1</v>
      </c>
    </row>
    <row r="45" spans="1:2" x14ac:dyDescent="0.3">
      <c r="A45">
        <v>40</v>
      </c>
      <c r="B45" t="b">
        <f>('ICC Mens T20 Worldcup'!M41)=('ICC Mens T20 Worldcup'!U41)</f>
        <v>0</v>
      </c>
    </row>
    <row r="46" spans="1:2" x14ac:dyDescent="0.3">
      <c r="A46">
        <v>41</v>
      </c>
      <c r="B46" t="b">
        <f>('ICC Mens T20 Worldcup'!M42)=('ICC Mens T20 Worldcup'!U42)</f>
        <v>0</v>
      </c>
    </row>
    <row r="47" spans="1:2" x14ac:dyDescent="0.3">
      <c r="A47">
        <v>42</v>
      </c>
      <c r="B47" t="b">
        <f>('ICC Mens T20 Worldcup'!M43)=('ICC Mens T20 Worldcup'!U43)</f>
        <v>1</v>
      </c>
    </row>
    <row r="48" spans="1:2" x14ac:dyDescent="0.3">
      <c r="A48">
        <v>43</v>
      </c>
      <c r="B48" t="b">
        <f>('ICC Mens T20 Worldcup'!M44)=('ICC Mens T20 Worldcup'!U44)</f>
        <v>1</v>
      </c>
    </row>
    <row r="49" spans="1:9" x14ac:dyDescent="0.3">
      <c r="A49">
        <v>44</v>
      </c>
      <c r="B49" t="b">
        <f>('ICC Mens T20 Worldcup'!M45)=('ICC Mens T20 Worldcup'!U45)</f>
        <v>1</v>
      </c>
    </row>
    <row r="50" spans="1:9" x14ac:dyDescent="0.3">
      <c r="A50">
        <v>45</v>
      </c>
      <c r="B50" t="b">
        <f>('ICC Mens T20 Worldcup'!M46)=('ICC Mens T20 Worldcup'!U46)</f>
        <v>0</v>
      </c>
    </row>
    <row r="51" spans="1:9" x14ac:dyDescent="0.3">
      <c r="A51">
        <v>46</v>
      </c>
      <c r="B51" t="b">
        <f>('ICC Mens T20 Worldcup'!M47)=('ICC Mens T20 Worldcup'!U47)</f>
        <v>1</v>
      </c>
    </row>
    <row r="52" spans="1:9" x14ac:dyDescent="0.3">
      <c r="A52">
        <v>47</v>
      </c>
      <c r="B52" t="b">
        <f>('ICC Mens T20 Worldcup'!M48)=('ICC Mens T20 Worldcup'!U48)</f>
        <v>0</v>
      </c>
    </row>
    <row r="53" spans="1:9" x14ac:dyDescent="0.3">
      <c r="A53">
        <v>48</v>
      </c>
      <c r="B53" t="b">
        <f>('ICC Mens T20 Worldcup'!M49)=('ICC Mens T20 Worldcup'!U49)</f>
        <v>0</v>
      </c>
    </row>
    <row r="54" spans="1:9" x14ac:dyDescent="0.3">
      <c r="A54">
        <v>49</v>
      </c>
      <c r="B54" t="b">
        <f>('ICC Mens T20 Worldcup'!M50)=('ICC Mens T20 Worldcup'!U50)</f>
        <v>1</v>
      </c>
    </row>
    <row r="55" spans="1:9" x14ac:dyDescent="0.3">
      <c r="A55">
        <v>50</v>
      </c>
      <c r="B55" t="b">
        <f>('ICC Mens T20 Worldcup'!M51)=('ICC Mens T20 Worldcup'!U51)</f>
        <v>1</v>
      </c>
    </row>
    <row r="56" spans="1:9" x14ac:dyDescent="0.3">
      <c r="A56">
        <v>51</v>
      </c>
      <c r="B56" t="b">
        <f>('ICC Mens T20 Worldcup'!M52)=('ICC Mens T20 Worldcup'!U52)</f>
        <v>0</v>
      </c>
    </row>
    <row r="57" spans="1:9" x14ac:dyDescent="0.3">
      <c r="A57">
        <v>52</v>
      </c>
      <c r="B57" t="b">
        <f>('ICC Mens T20 Worldcup'!M53)=('ICC Mens T20 Worldcup'!U53)</f>
        <v>1</v>
      </c>
    </row>
    <row r="58" spans="1:9" x14ac:dyDescent="0.3">
      <c r="A58">
        <v>53</v>
      </c>
      <c r="B58" t="b">
        <f>('ICC Mens T20 Worldcup'!M54)=('ICC Mens T20 Worldcup'!U54)</f>
        <v>0</v>
      </c>
    </row>
    <row r="59" spans="1:9" x14ac:dyDescent="0.3">
      <c r="A59">
        <v>54</v>
      </c>
      <c r="B59" t="b">
        <f>('ICC Mens T20 Worldcup'!M55)=('ICC Mens T20 Worldcup'!U55)</f>
        <v>0</v>
      </c>
    </row>
    <row r="60" spans="1:9" x14ac:dyDescent="0.3">
      <c r="A60">
        <v>55</v>
      </c>
      <c r="B60" t="b">
        <f>('ICC Mens T20 Worldcup'!M56)=('ICC Mens T20 Worldcup'!U56)</f>
        <v>1</v>
      </c>
      <c r="D60" t="str">
        <f>'ICC Mens T20 Worldcup'!H1</f>
        <v>Umpire 1</v>
      </c>
      <c r="E60" t="str">
        <f>'ICC Mens T20 Worldcup'!I1</f>
        <v>Umpire 2</v>
      </c>
      <c r="F60" t="str">
        <f>'ICC Mens T20 Worldcup'!J1</f>
        <v>Reserve Umpire</v>
      </c>
      <c r="G60" t="str">
        <f>'ICC Mens T20 Worldcup'!K1</f>
        <v>Match Referee</v>
      </c>
      <c r="H60" t="str">
        <f>'ICC Mens T20 Worldcup'!L1</f>
        <v>TV Umpire</v>
      </c>
      <c r="I60" t="s">
        <v>49</v>
      </c>
    </row>
    <row r="61" spans="1:9" x14ac:dyDescent="0.3">
      <c r="A61">
        <v>56</v>
      </c>
      <c r="B61" t="b">
        <f>('ICC Mens T20 Worldcup'!M57)=('ICC Mens T20 Worldcup'!U57)</f>
        <v>1</v>
      </c>
      <c r="D61" t="str">
        <f>'ICC Mens T20 Worldcup'!H3</f>
        <v>Adrian Holdstock</v>
      </c>
      <c r="E61" t="str">
        <f>'ICC Mens T20 Worldcup'!I27</f>
        <v>Alex Wharf</v>
      </c>
      <c r="F61" t="str">
        <f>'ICC Mens T20 Worldcup'!J15</f>
        <v>Adrian Holdstock</v>
      </c>
      <c r="G61" t="str">
        <f>'ICC Mens T20 Worldcup'!K3</f>
        <v>Andy Pycroft</v>
      </c>
      <c r="H61" t="str">
        <f>'ICC Mens T20 Worldcup'!L6</f>
        <v>Adrian Holdstock</v>
      </c>
    </row>
    <row r="62" spans="1:9" x14ac:dyDescent="0.3">
      <c r="D62" t="str">
        <f>'ICC Mens T20 Worldcup'!H6</f>
        <v>Ahsan Raza</v>
      </c>
      <c r="E62" t="str">
        <f>'ICC Mens T20 Worldcup'!I39</f>
        <v>Allahuddien Paleker</v>
      </c>
      <c r="F62" t="str">
        <f>'ICC Mens T20 Worldcup'!J19</f>
        <v>Ahsan Raza</v>
      </c>
      <c r="G62" t="str">
        <f>'ICC Mens T20 Worldcup'!K9</f>
        <v>David Boon</v>
      </c>
      <c r="H62" t="str">
        <f>'ICC Mens T20 Worldcup'!L3</f>
        <v>Ahsan Raza</v>
      </c>
    </row>
    <row r="63" spans="1:9" x14ac:dyDescent="0.3">
      <c r="D63" t="str">
        <f>'ICC Mens T20 Worldcup'!H9</f>
        <v>Alex Wharf</v>
      </c>
      <c r="E63" t="str">
        <f>'ICC Mens T20 Worldcup'!I21</f>
        <v>Chris Brown</v>
      </c>
      <c r="F63" t="str">
        <f>'ICC Mens T20 Worldcup'!J5</f>
        <v>Alex Wharf</v>
      </c>
      <c r="G63" t="str">
        <f>'ICC Mens T20 Worldcup'!K10</f>
        <v>Javagal Srinath</v>
      </c>
      <c r="H63" t="str">
        <f>'ICC Mens T20 Worldcup'!L36</f>
        <v>Alex Wharf</v>
      </c>
    </row>
    <row r="64" spans="1:9" x14ac:dyDescent="0.3">
      <c r="D64" t="str">
        <f>'ICC Mens T20 Worldcup'!H12</f>
        <v>Allahuddien Paleker</v>
      </c>
      <c r="E64" t="str">
        <f>'ICC Mens T20 Worldcup'!I9</f>
        <v>Chris Gaffaney</v>
      </c>
      <c r="F64" t="str">
        <f>'ICC Mens T20 Worldcup'!J25</f>
        <v>Allahuddien Paleker</v>
      </c>
      <c r="G64" t="str">
        <f>'ICC Mens T20 Worldcup'!K5</f>
        <v>Jeff Crowe</v>
      </c>
      <c r="H64" t="str">
        <f>'ICC Mens T20 Worldcup'!L16</f>
        <v>Allahuddien Paleker</v>
      </c>
    </row>
    <row r="65" spans="4:8" x14ac:dyDescent="0.3">
      <c r="D65" t="str">
        <f>'ICC Mens T20 Worldcup'!H7</f>
        <v>Asif Yaqoob</v>
      </c>
      <c r="E65" t="str">
        <f>'ICC Mens T20 Worldcup'!I28</f>
        <v>Jayaraman Madanagopal</v>
      </c>
      <c r="F65" t="str">
        <f>'ICC Mens T20 Worldcup'!J4</f>
        <v>Asif Yaqoob</v>
      </c>
      <c r="G65" t="str">
        <f>'ICC Mens T20 Worldcup'!K4</f>
        <v>Ranjan Madugalle</v>
      </c>
      <c r="H65" t="str">
        <f>'ICC Mens T20 Worldcup'!L13</f>
        <v>Asif Yaqoob</v>
      </c>
    </row>
    <row r="66" spans="4:8" x14ac:dyDescent="0.3">
      <c r="D66" t="str">
        <f>'ICC Mens T20 Worldcup'!H5</f>
        <v>Chris Brown</v>
      </c>
      <c r="E66" t="str">
        <f>'ICC Mens T20 Worldcup'!I4</f>
        <v>Joel Wilson</v>
      </c>
      <c r="F66" t="str">
        <f>'ICC Mens T20 Worldcup'!J9</f>
        <v>Chris Brown</v>
      </c>
      <c r="G66" t="str">
        <f>'ICC Mens T20 Worldcup'!K2</f>
        <v>Richie Richardson</v>
      </c>
      <c r="H66" t="str">
        <f>'ICC Mens T20 Worldcup'!L14</f>
        <v>Chris Brown</v>
      </c>
    </row>
    <row r="67" spans="4:8" x14ac:dyDescent="0.3">
      <c r="D67" t="str">
        <f>'ICC Mens T20 Worldcup'!H17</f>
        <v>Chris Gaffaney</v>
      </c>
      <c r="E67" t="str">
        <f>'ICC Mens T20 Worldcup'!I6</f>
        <v>Kumar Dharmasena</v>
      </c>
      <c r="F67" t="str">
        <f>'ICC Mens T20 Worldcup'!J14</f>
        <v>Chris Gaffaney</v>
      </c>
      <c r="H67" t="str">
        <f>'ICC Mens T20 Worldcup'!L20</f>
        <v>Chris Gaffaney</v>
      </c>
    </row>
    <row r="68" spans="4:8" x14ac:dyDescent="0.3">
      <c r="D68" t="str">
        <f>'ICC Mens T20 Worldcup'!H4</f>
        <v>Jayaraman Madanagopal</v>
      </c>
      <c r="E68" t="str">
        <f>'ICC Mens T20 Worldcup'!I29</f>
        <v>Langton Rusere</v>
      </c>
      <c r="F68" t="str">
        <f>'ICC Mens T20 Worldcup'!J7</f>
        <v>Jayaraman Madanagopal</v>
      </c>
      <c r="H68" t="str">
        <f>'ICC Mens T20 Worldcup'!L11</f>
        <v>Jayaraman Madanagopal</v>
      </c>
    </row>
    <row r="69" spans="4:8" x14ac:dyDescent="0.3">
      <c r="D69" t="str">
        <f>'ICC Mens T20 Worldcup'!H18</f>
        <v>Joel Wilson</v>
      </c>
      <c r="E69" t="str">
        <f>'ICC Mens T20 Worldcup'!I12</f>
        <v>Michael Gough</v>
      </c>
      <c r="F69" t="str">
        <f>'ICC Mens T20 Worldcup'!J13</f>
        <v>Joel Wilson</v>
      </c>
      <c r="H69" t="str">
        <f>'ICC Mens T20 Worldcup'!L7</f>
        <v>Joel Wilson</v>
      </c>
    </row>
    <row r="70" spans="4:8" x14ac:dyDescent="0.3">
      <c r="D70" t="str">
        <f>'ICC Mens T20 Worldcup'!H19</f>
        <v>Kumar Dharmasena</v>
      </c>
      <c r="E70" t="str">
        <f>'ICC Mens T20 Worldcup'!I7</f>
        <v>Nitin Menon</v>
      </c>
      <c r="F70" t="str">
        <f>'ICC Mens T20 Worldcup'!J3</f>
        <v>Kumar Dharmasena</v>
      </c>
      <c r="H70" t="str">
        <f>'ICC Mens T20 Worldcup'!L26</f>
        <v>Kumar Dharmasena</v>
      </c>
    </row>
    <row r="71" spans="4:8" x14ac:dyDescent="0.3">
      <c r="D71" t="str">
        <f>'ICC Mens T20 Worldcup'!H8</f>
        <v>Langton Rusere</v>
      </c>
      <c r="E71" t="str">
        <f>'ICC Mens T20 Worldcup'!I16</f>
        <v>Paul Reiffel</v>
      </c>
      <c r="F71" t="str">
        <f>'ICC Mens T20 Worldcup'!J2</f>
        <v>Langton Rusere</v>
      </c>
      <c r="H71" t="str">
        <f>'ICC Mens T20 Worldcup'!L21</f>
        <v>Langton Rusere</v>
      </c>
    </row>
    <row r="72" spans="4:8" x14ac:dyDescent="0.3">
      <c r="D72" t="str">
        <f>'ICC Mens T20 Worldcup'!H16</f>
        <v>Michael Gough</v>
      </c>
      <c r="E72" t="str">
        <f>'ICC Mens T20 Worldcup'!I3</f>
        <v>Rashid Riaz</v>
      </c>
      <c r="F72" t="str">
        <f>'ICC Mens T20 Worldcup'!J27</f>
        <v>Michael Gough</v>
      </c>
      <c r="H72" t="str">
        <f>'ICC Mens T20 Worldcup'!L22</f>
        <v>Michael Gough</v>
      </c>
    </row>
    <row r="73" spans="4:8" x14ac:dyDescent="0.3">
      <c r="D73" t="str">
        <f>'ICC Mens T20 Worldcup'!H25</f>
        <v>Nitin Menon</v>
      </c>
      <c r="E73" t="str">
        <f>'ICC Mens T20 Worldcup'!I33</f>
        <v>Richard Illingworth</v>
      </c>
      <c r="F73" t="str">
        <f>'ICC Mens T20 Worldcup'!J11</f>
        <v>Nitin Menon</v>
      </c>
      <c r="H73" t="str">
        <f>'ICC Mens T20 Worldcup'!L4</f>
        <v>Nitin Menon</v>
      </c>
    </row>
    <row r="74" spans="4:8" x14ac:dyDescent="0.3">
      <c r="D74" t="str">
        <f>'ICC Mens T20 Worldcup'!H26</f>
        <v>Paul Reiffel</v>
      </c>
      <c r="E74" t="str">
        <f>'ICC Mens T20 Worldcup'!I5</f>
        <v>Richard Kettleborough</v>
      </c>
      <c r="F74" t="str">
        <f>'ICC Mens T20 Worldcup'!J22</f>
        <v>Paul Reiffel</v>
      </c>
      <c r="H74" t="str">
        <f>'ICC Mens T20 Worldcup'!L5</f>
        <v>Paul Reiffel</v>
      </c>
    </row>
    <row r="75" spans="4:8" x14ac:dyDescent="0.3">
      <c r="D75" t="str">
        <f>'ICC Mens T20 Worldcup'!H2</f>
        <v>Richard Illingworth</v>
      </c>
      <c r="E75" t="str">
        <f>'ICC Mens T20 Worldcup'!I8</f>
        <v>Rod Tucker</v>
      </c>
      <c r="F75" t="str">
        <f>'ICC Mens T20 Worldcup'!J6</f>
        <v>Rashid Riaz</v>
      </c>
      <c r="H75" t="str">
        <f>'ICC Mens T20 Worldcup'!L15</f>
        <v>Rashid Riaz</v>
      </c>
    </row>
    <row r="76" spans="4:8" x14ac:dyDescent="0.3">
      <c r="D76" t="str">
        <f>'ICC Mens T20 Worldcup'!H14</f>
        <v>Richard Kettleborough</v>
      </c>
      <c r="E76" t="str">
        <f>'ICC Mens T20 Worldcup'!I14</f>
        <v>Sam Nogajski</v>
      </c>
      <c r="F76" t="str">
        <f>'ICC Mens T20 Worldcup'!J8</f>
        <v>Richard Illingworth</v>
      </c>
      <c r="H76" t="str">
        <f>'ICC Mens T20 Worldcup'!L27</f>
        <v>Richard Illingworth</v>
      </c>
    </row>
    <row r="77" spans="4:8" x14ac:dyDescent="0.3">
      <c r="D77" t="str">
        <f>'ICC Mens T20 Worldcup'!H31</f>
        <v>Rod Tucker</v>
      </c>
      <c r="E77" t="str">
        <f>'ICC Mens T20 Worldcup'!I2</f>
        <v>Sharfuddoula</v>
      </c>
      <c r="F77" t="str">
        <f>'ICC Mens T20 Worldcup'!J31</f>
        <v>Richard Kettleborough</v>
      </c>
      <c r="H77" t="str">
        <f>'ICC Mens T20 Worldcup'!L9</f>
        <v>Richard Kettleborough</v>
      </c>
    </row>
    <row r="78" spans="4:8" x14ac:dyDescent="0.3">
      <c r="F78" t="str">
        <f>'ICC Mens T20 Worldcup'!J12</f>
        <v>Rod Tucker</v>
      </c>
      <c r="H78" t="str">
        <f>'ICC Mens T20 Worldcup'!L24</f>
        <v>Rod Tucker</v>
      </c>
    </row>
    <row r="79" spans="4:8" x14ac:dyDescent="0.3">
      <c r="F79" t="str">
        <f>'ICC Mens T20 Worldcup'!J17</f>
        <v>Sam Nogajski</v>
      </c>
      <c r="H79" t="str">
        <f>'ICC Mens T20 Worldcup'!L2</f>
        <v>Sam Nogajski</v>
      </c>
    </row>
    <row r="80" spans="4:8" x14ac:dyDescent="0.3">
      <c r="F80" t="str">
        <f>'ICC Mens T20 Worldcup'!J20</f>
        <v>Sharfuddoula</v>
      </c>
      <c r="H80" t="str">
        <f>'ICC Mens T20 Worldcup'!L8</f>
        <v>Sharfuddoula</v>
      </c>
    </row>
  </sheetData>
  <autoFilter ref="D60:H80" xr:uid="{A38CAF9F-8F36-4595-9153-82D687204030}"/>
  <sortState xmlns:xlrd2="http://schemas.microsoft.com/office/spreadsheetml/2017/richdata2" ref="H61:H115">
    <sortCondition ref="H61:H115"/>
  </sortState>
  <dataValidations count="1">
    <dataValidation type="list" allowBlank="1" showInputMessage="1" showErrorMessage="1" sqref="I60" xr:uid="{8F0CF818-7C8D-4BC6-8384-42151222202C}">
      <formula1>"Yes,No"</formula1>
    </dataValidation>
  </dataValidation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4DF249B-9088-4BFD-812E-F6CE3C003426}">
  <ds:schemaRefs/>
</ds:datastoreItem>
</file>

<file path=customXml/itemProps2.xml><?xml version="1.0" encoding="utf-8"?>
<ds:datastoreItem xmlns:ds="http://schemas.openxmlformats.org/officeDocument/2006/customXml" ds:itemID="{52C2D77A-8DE0-45E6-A5AD-2AC6AB18CC8A}">
  <ds:schemaRefs/>
</ds:datastoreItem>
</file>

<file path=customXml/itemProps3.xml><?xml version="1.0" encoding="utf-8"?>
<ds:datastoreItem xmlns:ds="http://schemas.openxmlformats.org/officeDocument/2006/customXml" ds:itemID="{22893EB9-FC30-4F58-8CD6-E932BB7073CD}">
  <ds:schemaRefs/>
</ds:datastoreItem>
</file>

<file path=customXml/itemProps4.xml><?xml version="1.0" encoding="utf-8"?>
<ds:datastoreItem xmlns:ds="http://schemas.openxmlformats.org/officeDocument/2006/customXml" ds:itemID="{036D13DF-1556-4E2F-9E85-4A4AF7D2D3A7}">
  <ds:schemaRefs/>
</ds:datastoreItem>
</file>

<file path=customXml/itemProps5.xml><?xml version="1.0" encoding="utf-8"?>
<ds:datastoreItem xmlns:ds="http://schemas.openxmlformats.org/officeDocument/2006/customXml" ds:itemID="{0620DD72-107C-4583-8BC0-ED5A3A40E24F}">
  <ds:schemaRefs/>
</ds:datastoreItem>
</file>

<file path=customXml/itemProps6.xml><?xml version="1.0" encoding="utf-8"?>
<ds:datastoreItem xmlns:ds="http://schemas.openxmlformats.org/officeDocument/2006/customXml" ds:itemID="{8B8D3C2F-F518-47FE-8C07-8D16407166C3}">
  <ds:schemaRefs/>
</ds:datastoreItem>
</file>

<file path=customXml/itemProps7.xml><?xml version="1.0" encoding="utf-8"?>
<ds:datastoreItem xmlns:ds="http://schemas.openxmlformats.org/officeDocument/2006/customXml" ds:itemID="{F2C6E6AC-F7CB-4133-A85C-1EA95D44A46A}">
  <ds:schemaRefs/>
</ds:datastoreItem>
</file>

<file path=customXml/itemProps8.xml><?xml version="1.0" encoding="utf-8"?>
<ds:datastoreItem xmlns:ds="http://schemas.openxmlformats.org/officeDocument/2006/customXml" ds:itemID="{E79404EA-F762-43E8-8027-20C80BE2CAC1}">
  <ds:schemaRefs/>
</ds:datastoreItem>
</file>

<file path=customXml/itemProps9.xml><?xml version="1.0" encoding="utf-8"?>
<ds:datastoreItem xmlns:ds="http://schemas.openxmlformats.org/officeDocument/2006/customXml" ds:itemID="{179AFE46-D1DB-43FD-80FA-2ACDFCA54D76}">
  <ds:schemaRefs/>
</ds:datastoreItem>
</file>

<file path=customXml/itemProps10.xml><?xml version="1.0" encoding="utf-8"?>
<ds:datastoreItem xmlns:ds="http://schemas.openxmlformats.org/officeDocument/2006/customXml" ds:itemID="{DAF66BEA-C47E-49C4-A4A5-B1D7760E698E}">
  <ds:schemaRefs/>
</ds:datastoreItem>
</file>

<file path=customXml/itemProps11.xml><?xml version="1.0" encoding="utf-8"?>
<ds:datastoreItem xmlns:ds="http://schemas.openxmlformats.org/officeDocument/2006/customXml" ds:itemID="{BE5BC7BD-21DF-4541-9BFC-2648CEC03854}">
  <ds:schemaRefs/>
</ds:datastoreItem>
</file>

<file path=customXml/itemProps12.xml><?xml version="1.0" encoding="utf-8"?>
<ds:datastoreItem xmlns:ds="http://schemas.openxmlformats.org/officeDocument/2006/customXml" ds:itemID="{F0A4ECFE-68A3-47C4-8973-8125AF799F24}">
  <ds:schemaRefs/>
</ds:datastoreItem>
</file>

<file path=customXml/itemProps13.xml><?xml version="1.0" encoding="utf-8"?>
<ds:datastoreItem xmlns:ds="http://schemas.openxmlformats.org/officeDocument/2006/customXml" ds:itemID="{8B126603-85A0-47BC-9B9D-E7DAB733BD97}">
  <ds:schemaRefs/>
</ds:datastoreItem>
</file>

<file path=customXml/itemProps14.xml><?xml version="1.0" encoding="utf-8"?>
<ds:datastoreItem xmlns:ds="http://schemas.openxmlformats.org/officeDocument/2006/customXml" ds:itemID="{E523E739-49C4-4D33-AD09-F634BC48A5F8}">
  <ds:schemaRefs/>
</ds:datastoreItem>
</file>

<file path=customXml/itemProps15.xml><?xml version="1.0" encoding="utf-8"?>
<ds:datastoreItem xmlns:ds="http://schemas.openxmlformats.org/officeDocument/2006/customXml" ds:itemID="{AB0D755A-3FA8-4E75-BB94-3B6883665798}">
  <ds:schemaRefs/>
</ds:datastoreItem>
</file>

<file path=customXml/itemProps16.xml><?xml version="1.0" encoding="utf-8"?>
<ds:datastoreItem xmlns:ds="http://schemas.openxmlformats.org/officeDocument/2006/customXml" ds:itemID="{CE620A6C-0737-47BC-B7D1-84E70D64B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ICC Mens T20 Worldcup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Prasanth</dc:creator>
  <cp:lastModifiedBy>Prasanna Prasanth</cp:lastModifiedBy>
  <dcterms:created xsi:type="dcterms:W3CDTF">2026-05-16T08:36:44Z</dcterms:created>
  <dcterms:modified xsi:type="dcterms:W3CDTF">2026-05-16T12:30:56Z</dcterms:modified>
</cp:coreProperties>
</file>